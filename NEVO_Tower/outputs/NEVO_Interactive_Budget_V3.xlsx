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</sheets>
  <definedNames>
    <definedName name="TotalProjectCost">Summary!$B$8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SoftCosts">'Soft Costs'!$B$20</definedName>
    <definedName name="TotalRevenue">'Revenue'!$F$9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1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color rgb="000000FF"/>
    </font>
    <font>
      <b val="1"/>
      <color rgb="00FF0000"/>
    </font>
    <font>
      <i val="1"/>
    </font>
    <font>
      <b val="1"/>
      <color rgb="00008000"/>
      <sz val="12"/>
    </font>
    <font>
      <b val="1"/>
      <color rgb="00FF0000"/>
      <sz val="12"/>
    </font>
    <font>
      <b val="1"/>
      <color rgb="00008000"/>
      <sz val="14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5" borderId="0" pivotButton="0" quotePrefix="0" xfId="0"/>
    <xf numFmtId="166" fontId="4" fillId="0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0" borderId="0" pivotButton="0" quotePrefix="0" xfId="0"/>
    <xf numFmtId="0" fontId="4" fillId="8" borderId="0" pivotButton="0" quotePrefix="0" xfId="0"/>
    <xf numFmtId="0" fontId="0" fillId="9" borderId="0" pivotButton="0" quotePrefix="0" xfId="0"/>
    <xf numFmtId="0" fontId="9" fillId="0" borderId="0" pivotButton="0" quotePrefix="0" xfId="0"/>
    <xf numFmtId="0" fontId="0" fillId="8" borderId="0" pivotButton="0" quotePrefix="0" xfId="0"/>
    <xf numFmtId="0" fontId="0" fillId="3" borderId="0" pivotButton="0" quotePrefix="0" xfId="0"/>
    <xf numFmtId="0" fontId="11" fillId="8" borderId="0" pivotButton="0" quotePrefix="0" xfId="0"/>
    <xf numFmtId="164" fontId="0" fillId="8" borderId="0" pivotButton="0" quotePrefix="0" xfId="0"/>
    <xf numFmtId="0" fontId="12" fillId="0" borderId="0" pivotButton="0" quotePrefix="0" xfId="0"/>
    <xf numFmtId="164" fontId="3" fillId="8" borderId="0" pivotButton="0" quotePrefix="0" xfId="0"/>
    <xf numFmtId="9" fontId="0" fillId="0" borderId="0" pivotButton="0" quotePrefix="0" xfId="0"/>
    <xf numFmtId="3" fontId="0" fillId="5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01:03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</t>
        </is>
      </c>
      <c r="B18" s="3">
        <f>B8/50</f>
        <v/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45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2">
      <c r="A32" s="11" t="inlineStr">
        <is>
          <t>NAMED RANGES - How Formulas Connect Sheets</t>
        </is>
      </c>
    </row>
    <row r="33">
      <c r="A33" s="16" t="inlineStr">
        <is>
          <t>Range Name</t>
        </is>
      </c>
      <c r="B33" s="16" t="inlineStr">
        <is>
          <t>Location</t>
        </is>
      </c>
      <c r="C33" s="16" t="inlineStr">
        <is>
          <t>Value</t>
        </is>
      </c>
      <c r="D33" s="16" t="inlineStr">
        <is>
          <t>Description</t>
        </is>
      </c>
    </row>
    <row r="34">
      <c r="A34" t="inlineStr">
        <is>
          <t>LandPartner_Land</t>
        </is>
      </c>
      <c r="B34" t="inlineStr">
        <is>
          <t>B11</t>
        </is>
      </c>
      <c r="C34">
        <f>B11</f>
        <v/>
      </c>
      <c r="D34" t="inlineStr">
        <is>
          <t>80% - SC land in-kind ($8M)</t>
        </is>
      </c>
    </row>
    <row r="35">
      <c r="A35" t="inlineStr">
        <is>
          <t>LandPartner_Cash1</t>
        </is>
      </c>
      <c r="B35" t="inlineStr">
        <is>
          <t>B12</t>
        </is>
      </c>
      <c r="C35">
        <f>B12</f>
        <v/>
      </c>
      <c r="D35" t="inlineStr">
        <is>
          <t>62.5% - SC cash Month 0 ($1.25M)</t>
        </is>
      </c>
    </row>
    <row r="36">
      <c r="A36" t="inlineStr">
        <is>
          <t>LandPartner_Cash2</t>
        </is>
      </c>
      <c r="B36" t="inlineStr">
        <is>
          <t>B13</t>
        </is>
      </c>
      <c r="C36">
        <f>B13</f>
        <v/>
      </c>
      <c r="D36" t="inlineStr">
        <is>
          <t>37.5% - SC cash Month 6 ($750K)</t>
        </is>
      </c>
    </row>
    <row r="37">
      <c r="A37" t="inlineStr">
        <is>
          <t>TotalHardCosts</t>
        </is>
      </c>
      <c r="B37" t="inlineStr">
        <is>
          <t>'Hard Costs'!E[row]</t>
        </is>
      </c>
      <c r="C37">
        <f>TotalHardCosts</f>
        <v/>
      </c>
      <c r="D37" t="inlineStr">
        <is>
          <t>~85% - All construction costs</t>
        </is>
      </c>
    </row>
    <row r="38">
      <c r="A38" t="inlineStr">
        <is>
          <t>TotalSoftCosts</t>
        </is>
      </c>
      <c r="B38" t="inlineStr">
        <is>
          <t>'Soft Costs'!B[row]</t>
        </is>
      </c>
      <c r="C38">
        <f>TotalSoftCosts</f>
        <v/>
      </c>
      <c r="D38" t="inlineStr">
        <is>
          <t>~12% - Design, permits, financing</t>
        </is>
      </c>
    </row>
    <row r="39">
      <c r="A39" t="inlineStr">
        <is>
          <t>TotalRevenue</t>
        </is>
      </c>
      <c r="B39" t="inlineStr">
        <is>
          <t>'Revenue'!F[row]</t>
        </is>
      </c>
      <c r="C39">
        <f>TotalRevenue</f>
        <v/>
      </c>
      <c r="D39" t="inlineStr">
        <is>
          <t>100% - Total project revenue</t>
        </is>
      </c>
    </row>
    <row r="40">
      <c r="A40" t="inlineStr">
        <is>
          <t>GC_OHP</t>
        </is>
      </c>
      <c r="B40" t="inlineStr">
        <is>
          <t>B18</t>
        </is>
      </c>
      <c r="C40">
        <f>GC_OHP</f>
        <v/>
      </c>
      <c r="D40" t="inlineStr">
        <is>
          <t>10% - GC overhead &amp; profit rate</t>
        </is>
      </c>
    </row>
    <row r="41">
      <c r="A41" t="inlineStr">
        <is>
          <t>AE_Rate</t>
        </is>
      </c>
      <c r="B41" t="inlineStr">
        <is>
          <t>B23</t>
        </is>
      </c>
      <c r="C41">
        <f>AE_Rate</f>
        <v/>
      </c>
      <c r="D41" t="inlineStr">
        <is>
          <t>3.8% - Architecture &amp; engineering fee</t>
        </is>
      </c>
    </row>
    <row r="42">
      <c r="A42" t="inlineStr">
        <is>
          <t>Marketing_Rate</t>
        </is>
      </c>
      <c r="B42" t="inlineStr">
        <is>
          <t>B24</t>
        </is>
      </c>
      <c r="C42">
        <f>Marketing_Rate</f>
        <v/>
      </c>
      <c r="D42" t="inlineStr">
        <is>
          <t>2.0% - Marketing &amp; sales rate</t>
        </is>
      </c>
    </row>
    <row r="43">
      <c r="A43" t="inlineStr">
        <is>
          <t>LTC</t>
        </is>
      </c>
      <c r="B43" t="inlineStr">
        <is>
          <t>B26</t>
        </is>
      </c>
      <c r="C43">
        <f>LTC</f>
        <v/>
      </c>
      <c r="D43" t="inlineStr">
        <is>
          <t>75% - Loan-to-cost ratio</t>
        </is>
      </c>
    </row>
    <row r="45">
      <c r="A45" s="16" t="inlineStr">
        <is>
          <t>HOW TO USE NAMED RANGES:</t>
        </is>
      </c>
      <c r="D45" t="inlineStr">
        <is>
          <t>Type = then the range name in any formula</t>
        </is>
      </c>
    </row>
    <row r="46">
      <c r="A46" t="inlineStr">
        <is>
          <t>Example:</t>
        </is>
      </c>
      <c r="D46">
        <f>TotalHardCosts*0.05 calculates 5% of hard costs</f>
        <v/>
      </c>
    </row>
  </sheetData>
  <mergeCells count="5">
    <mergeCell ref="A1:D1"/>
    <mergeCell ref="A9:D9"/>
    <mergeCell ref="A3:D3"/>
    <mergeCell ref="A16:D16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HARD COSTS - CSI MASTERFORMAT DIVISIONS</t>
        </is>
      </c>
    </row>
    <row r="3">
      <c r="A3" s="17" t="inlineStr">
        <is>
          <t>CSI</t>
        </is>
      </c>
      <c r="B3" s="17" t="inlineStr">
        <is>
          <t>Description</t>
        </is>
      </c>
      <c r="C3" s="17" t="inlineStr">
        <is>
          <t>Rate ($/GSF)</t>
        </is>
      </c>
      <c r="D3" s="17" t="inlineStr">
        <is>
          <t>GSF</t>
        </is>
      </c>
      <c r="E3" s="17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8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8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8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8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8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8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8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8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8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8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8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8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8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8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8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8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8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8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8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8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8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8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8" t="n">
        <v>2.81</v>
      </c>
      <c r="D26" s="12">
        <f>TotalGSF</f>
        <v/>
      </c>
      <c r="E26" s="3">
        <f>C26*D26</f>
        <v/>
      </c>
    </row>
    <row r="27">
      <c r="B27" s="16" t="inlineStr">
        <is>
          <t>SUBTOTAL - Construction</t>
        </is>
      </c>
      <c r="E27" s="19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6" t="inlineStr">
        <is>
          <t>Subtotal before Contingency</t>
        </is>
      </c>
      <c r="E32" s="19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6" t="inlineStr">
        <is>
          <t>Cost per GSF</t>
        </is>
      </c>
      <c r="E39" s="20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SOFT COSTS - PAYMENT TIMING: MONTHS 1-9 vs AFTER MONTH 9</t>
        </is>
      </c>
    </row>
    <row r="2">
      <c r="A2" t="inlineStr">
        <is>
          <t>Target: 12% of Total Hard Costs | IN-KIND = Paid after Month 9 from pre-sales</t>
        </is>
      </c>
    </row>
    <row r="4">
      <c r="A4" s="17" t="inlineStr">
        <is>
          <t>Category</t>
        </is>
      </c>
      <c r="B4" s="17" t="inlineStr">
        <is>
          <t>Amount</t>
        </is>
      </c>
      <c r="C4" s="17" t="inlineStr">
        <is>
          <t>Payment Timing</t>
        </is>
      </c>
      <c r="D4" s="17" t="inlineStr">
        <is>
          <t>Basis</t>
        </is>
      </c>
    </row>
    <row r="5">
      <c r="A5" t="inlineStr">
        <is>
          <t>Architecture &amp; Engineering</t>
        </is>
      </c>
      <c r="B5" s="13">
        <f>TotalHardCosts*0.04</f>
        <v/>
      </c>
      <c r="C5" s="21" t="inlineStr">
        <is>
          <t>IN-KIND (After Mo 9)</t>
        </is>
      </c>
      <c r="D5" t="inlineStr">
        <is>
          <t>4.0% of hard costs</t>
        </is>
      </c>
    </row>
    <row r="6">
      <c r="A6" t="inlineStr">
        <is>
          <t>Marketing &amp; Sales</t>
        </is>
      </c>
      <c r="B6" s="13">
        <f>TotalHardCosts*0.025</f>
        <v/>
      </c>
      <c r="C6" s="21" t="inlineStr">
        <is>
          <t>IN-KIND (After Mo 9)</t>
        </is>
      </c>
      <c r="D6" t="inlineStr">
        <is>
          <t>2.5% of hard costs</t>
        </is>
      </c>
    </row>
    <row r="7">
      <c r="A7" t="inlineStr">
        <is>
          <t>Legal &amp; Accounting</t>
        </is>
      </c>
      <c r="B7" s="13">
        <f>TotalHardCosts*0.01</f>
        <v/>
      </c>
      <c r="C7" s="21" t="inlineStr">
        <is>
          <t>IN-KIND (After Mo 9)</t>
        </is>
      </c>
      <c r="D7" t="inlineStr">
        <is>
          <t>1.0% of hard costs</t>
        </is>
      </c>
    </row>
    <row r="8">
      <c r="A8" t="inlineStr">
        <is>
          <t>Developer Fee</t>
        </is>
      </c>
      <c r="B8" s="13">
        <f>TotalHardCosts*0.015</f>
        <v/>
      </c>
      <c r="C8" s="21" t="inlineStr">
        <is>
          <t>IN-KIND (After Mo 9)</t>
        </is>
      </c>
      <c r="D8" t="inlineStr">
        <is>
          <t>1.5% of hard costs</t>
        </is>
      </c>
    </row>
    <row r="10">
      <c r="A10" t="inlineStr">
        <is>
          <t>Building Permit</t>
        </is>
      </c>
      <c r="B10" s="13">
        <f>TotalHardCosts*0.015</f>
        <v/>
      </c>
      <c r="C10" s="22" t="inlineStr">
        <is>
          <t>CASH (Months 1-9)</t>
        </is>
      </c>
      <c r="D10" t="inlineStr">
        <is>
          <t>1.5% of hard costs</t>
        </is>
      </c>
    </row>
    <row r="11">
      <c r="A11" t="inlineStr">
        <is>
          <t>Impact Fees</t>
        </is>
      </c>
      <c r="B11" s="13">
        <f>TotalHardCosts*0.01</f>
        <v/>
      </c>
      <c r="C11" s="22" t="inlineStr">
        <is>
          <t>CASH (Months 1-9)</t>
        </is>
      </c>
      <c r="D11" t="inlineStr">
        <is>
          <t>1.0% of hard costs</t>
        </is>
      </c>
    </row>
    <row r="12">
      <c r="A12" t="inlineStr">
        <is>
          <t>Plan Review</t>
        </is>
      </c>
      <c r="B12" s="13">
        <f>TotalHardCosts*0.005</f>
        <v/>
      </c>
      <c r="C12" s="22" t="inlineStr">
        <is>
          <t>CASH (Months 1-9)</t>
        </is>
      </c>
      <c r="D12" t="inlineStr">
        <is>
          <t>0.5% of hard costs</t>
        </is>
      </c>
    </row>
    <row r="13">
      <c r="A13" t="inlineStr">
        <is>
          <t>Insurance</t>
        </is>
      </c>
      <c r="B13" s="13">
        <f>TotalHardCosts*0.008</f>
        <v/>
      </c>
      <c r="C13" s="22" t="inlineStr">
        <is>
          <t>CASH (Months 1-9)</t>
        </is>
      </c>
      <c r="D13" t="inlineStr">
        <is>
          <t>0.8% of hard costs</t>
        </is>
      </c>
    </row>
    <row r="14">
      <c r="A14" t="inlineStr">
        <is>
          <t>Testing &amp; Inspections</t>
        </is>
      </c>
      <c r="B14" s="13">
        <f>TotalHardCosts*0.003</f>
        <v/>
      </c>
      <c r="C14" s="22" t="inlineStr">
        <is>
          <t>CASH (Months 1-9)</t>
        </is>
      </c>
      <c r="D14" t="inlineStr">
        <is>
          <t>0.3% of hard costs</t>
        </is>
      </c>
    </row>
    <row r="15">
      <c r="A15" t="inlineStr">
        <is>
          <t>Utilities &amp; Misc</t>
        </is>
      </c>
      <c r="B15" s="13">
        <f>TotalHardCosts*0.002</f>
        <v/>
      </c>
      <c r="C15" s="22" t="inlineStr">
        <is>
          <t>CASH (Months 1-9)</t>
        </is>
      </c>
      <c r="D15" t="inlineStr">
        <is>
          <t>0.2% of hard costs</t>
        </is>
      </c>
    </row>
    <row r="16">
      <c r="A16" t="inlineStr">
        <is>
          <t>Financing Costs</t>
        </is>
      </c>
      <c r="B16" s="3">
        <f>ConstructionSubtotal*0.375*LTC*Finance_Rate*(9/12)</f>
        <v/>
      </c>
      <c r="C16" s="22" t="inlineStr">
        <is>
          <t>CASH (Months 1-9)</t>
        </is>
      </c>
      <c r="D16" t="inlineStr">
        <is>
          <t>9-month bridge loan interest</t>
        </is>
      </c>
    </row>
    <row r="18">
      <c r="A18" t="inlineStr">
        <is>
          <t xml:space="preserve">  Note:</t>
        </is>
      </c>
      <c r="B18" t="inlineStr">
        <is>
          <t>IN-KIND costs paid after Month 9 from pre-sales revenue</t>
        </is>
      </c>
    </row>
    <row r="20">
      <c r="A20" s="5" t="inlineStr">
        <is>
          <t>TOTAL SOFT COSTS</t>
        </is>
      </c>
      <c r="B20" s="6">
        <f>SUM(B5:B16)</f>
        <v/>
      </c>
    </row>
    <row r="21">
      <c r="A21" s="16" t="inlineStr">
        <is>
          <t>% of Hard Costs</t>
        </is>
      </c>
      <c r="B21" s="8">
        <f>B20/TotalHardCosts</f>
        <v/>
      </c>
      <c r="D21" t="inlineStr">
        <is>
          <t>Target: 12.0%</t>
        </is>
      </c>
    </row>
    <row r="22">
      <c r="A22" s="16" t="inlineStr">
        <is>
          <t>Cost per GSF</t>
        </is>
      </c>
      <c r="B22" s="20">
        <f>B20/108675</f>
        <v/>
      </c>
    </row>
  </sheetData>
  <mergeCells count="3">
    <mergeCell ref="A1:D1"/>
    <mergeCell ref="B18:D1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REVENUE ANALYSIS</t>
        </is>
      </c>
    </row>
    <row r="3">
      <c r="A3" s="17" t="inlineStr">
        <is>
          <t>Floor</t>
        </is>
      </c>
      <c r="B3" s="17" t="inlineStr">
        <is>
          <t>Unit Type</t>
        </is>
      </c>
      <c r="C3" s="17" t="inlineStr">
        <is>
          <t>Units</t>
        </is>
      </c>
      <c r="D3" s="17" t="inlineStr">
        <is>
          <t>NSF</t>
        </is>
      </c>
      <c r="E3" s="17" t="inlineStr">
        <is>
          <t>$/SF</t>
        </is>
      </c>
      <c r="F3" s="17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6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NEVO TOWER - PROJECT DEAL STRUCTURE</t>
        </is>
      </c>
    </row>
    <row r="2">
      <c r="A2" s="23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6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6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6" t="inlineStr"/>
      <c r="B7" t="inlineStr">
        <is>
          <t>Partnership is 50/50 profit split AFTER obligations</t>
        </is>
      </c>
      <c r="D7" t="inlineStr"/>
    </row>
    <row r="9">
      <c r="A9" s="11" t="inlineStr">
        <is>
          <t>SC CONTRIBUTIONS &amp; PAYMENTS</t>
        </is>
      </c>
    </row>
    <row r="10">
      <c r="A10" s="16" t="inlineStr">
        <is>
          <t>Item</t>
        </is>
      </c>
      <c r="B10" s="16" t="inlineStr">
        <is>
          <t>Amount</t>
        </is>
      </c>
      <c r="C10" s="16" t="inlineStr">
        <is>
          <t>Timing</t>
        </is>
      </c>
      <c r="D10" s="16" t="inlineStr">
        <is>
          <t>Type</t>
        </is>
      </c>
      <c r="E10" s="16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24" t="inlineStr">
        <is>
          <t>NO!</t>
        </is>
      </c>
    </row>
    <row r="16">
      <c r="A16" s="11" t="inlineStr">
        <is>
          <t>FINANCING STRUCTURE</t>
        </is>
      </c>
    </row>
    <row r="17">
      <c r="A17" s="16" t="inlineStr">
        <is>
          <t>Source</t>
        </is>
      </c>
      <c r="B17" s="16" t="inlineStr">
        <is>
          <t>Amount</t>
        </is>
      </c>
      <c r="C17" s="16" t="inlineStr">
        <is>
          <t>Duration</t>
        </is>
      </c>
      <c r="D17" s="16" t="inlineStr">
        <is>
          <t>Purpose</t>
        </is>
      </c>
      <c r="E17" s="16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25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25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25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25" t="inlineStr">
        <is>
          <t>$0</t>
        </is>
      </c>
    </row>
    <row r="24">
      <c r="A24" s="26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6" t="inlineStr">
        <is>
          <t>Priority</t>
        </is>
      </c>
      <c r="B27" s="16" t="inlineStr">
        <is>
          <t>Payee</t>
        </is>
      </c>
      <c r="C27" s="16" t="inlineStr">
        <is>
          <t>Amount</t>
        </is>
      </c>
      <c r="D27" s="16" t="inlineStr">
        <is>
          <t>Description</t>
        </is>
      </c>
    </row>
    <row r="28">
      <c r="A28" s="25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27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27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28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28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6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29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6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6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6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6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6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6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NEVO TOWER - 24-MONTH CASH FLOW WITH PRE-SALES</t>
        </is>
      </c>
    </row>
    <row r="2">
      <c r="A2" t="inlineStr">
        <is>
          <t>Construction Costs vs Pre-Sales Revenue - Bridge Loan Calculation</t>
        </is>
      </c>
    </row>
    <row r="4">
      <c r="A4" s="17" t="inlineStr">
        <is>
          <t>Month</t>
        </is>
      </c>
      <c r="B4" s="17" t="inlineStr">
        <is>
          <t>Activity</t>
        </is>
      </c>
      <c r="C4" s="17" t="inlineStr">
        <is>
          <t>Hard Cost Draw</t>
        </is>
      </c>
      <c r="D4" s="17" t="inlineStr">
        <is>
          <t>SC Cash OUT</t>
        </is>
      </c>
      <c r="E4" s="17" t="inlineStr">
        <is>
          <t>Pre-Sales Units</t>
        </is>
      </c>
      <c r="F4" s="17" t="inlineStr">
        <is>
          <t>Pre-Sales Payment</t>
        </is>
      </c>
      <c r="G4" s="17" t="inlineStr">
        <is>
          <t>Usable (90%)</t>
        </is>
      </c>
      <c r="H4" s="17" t="inlineStr">
        <is>
          <t>Total Cash In</t>
        </is>
      </c>
      <c r="I4" s="17" t="inlineStr">
        <is>
          <t>Net Cash Flow</t>
        </is>
      </c>
      <c r="J4" s="17" t="inlineStr">
        <is>
          <t>Cumulative Cash</t>
        </is>
      </c>
      <c r="K4" s="17" t="inlineStr">
        <is>
          <t>Bridge Loan Need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-LandPartner_Cash1</f>
        <v/>
      </c>
      <c r="E5" t="n">
        <v>1</v>
      </c>
      <c r="F5" s="3">
        <f>E5*(TotalRevenue/50)*0.25</f>
        <v/>
      </c>
      <c r="G5" s="3">
        <f>F5*0.90</f>
        <v/>
      </c>
      <c r="H5" s="3">
        <f>D5+G5</f>
        <v/>
      </c>
      <c r="I5" s="3">
        <f>H5-C5</f>
        <v/>
      </c>
      <c r="J5" s="3">
        <f>I5</f>
        <v/>
      </c>
      <c r="K5" s="30">
        <f>IF(J5&lt;0,-J5,0)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 t="n">
        <v>0</v>
      </c>
      <c r="E6" t="n">
        <v>2</v>
      </c>
      <c r="F6" s="3">
        <f>E6*(TotalRevenue/50)*0.25</f>
        <v/>
      </c>
      <c r="G6" s="3">
        <f>F6*0.90</f>
        <v/>
      </c>
      <c r="H6" s="3">
        <f>D6+G6</f>
        <v/>
      </c>
      <c r="I6" s="3">
        <f>H6-C6</f>
        <v/>
      </c>
      <c r="J6" s="3">
        <f>J5+I6</f>
        <v/>
      </c>
      <c r="K6" s="30">
        <f>IF(J6&lt;0,-J6,0)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 t="n">
        <v>0</v>
      </c>
      <c r="E7" t="n">
        <v>2</v>
      </c>
      <c r="F7" s="3">
        <f>E7*(TotalRevenue/50)*0.25</f>
        <v/>
      </c>
      <c r="G7" s="3">
        <f>F7*0.90</f>
        <v/>
      </c>
      <c r="H7" s="3">
        <f>D7+G7</f>
        <v/>
      </c>
      <c r="I7" s="3">
        <f>H7-C7</f>
        <v/>
      </c>
      <c r="J7" s="3">
        <f>J6+I7</f>
        <v/>
      </c>
      <c r="K7" s="30">
        <f>IF(J7&lt;0,-J7,0)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 t="n">
        <v>0</v>
      </c>
      <c r="E8" t="n">
        <v>3</v>
      </c>
      <c r="F8" s="3">
        <f>E8*(TotalRevenue/50)*0.25</f>
        <v/>
      </c>
      <c r="G8" s="3">
        <f>F8*0.90</f>
        <v/>
      </c>
      <c r="H8" s="3">
        <f>D8+G8</f>
        <v/>
      </c>
      <c r="I8" s="3">
        <f>H8-C8</f>
        <v/>
      </c>
      <c r="J8" s="3">
        <f>J7+I8</f>
        <v/>
      </c>
      <c r="K8" s="30">
        <f>IF(J8&lt;0,-J8,0)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 t="n">
        <v>0</v>
      </c>
      <c r="E9" t="n">
        <v>3</v>
      </c>
      <c r="F9" s="3">
        <f>(E9*(TotalRevenue/50)*0.25)+(SUM($E$5:E8)*(TotalRevenue/50)*0.25)</f>
        <v/>
      </c>
      <c r="G9" s="3">
        <f>F9*0.90</f>
        <v/>
      </c>
      <c r="H9" s="3">
        <f>D9+G9</f>
        <v/>
      </c>
      <c r="I9" s="3">
        <f>H9-C9</f>
        <v/>
      </c>
      <c r="J9" s="3">
        <f>J8+I9</f>
        <v/>
      </c>
      <c r="K9" s="30">
        <f>IF(J9&lt;0,-J9,0)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-LandPartner_Cash2</f>
        <v/>
      </c>
      <c r="E10" t="n">
        <v>3</v>
      </c>
      <c r="F10" s="3">
        <f>E10*(TotalRevenue/50)*0.25</f>
        <v/>
      </c>
      <c r="G10" s="3">
        <f>F10*0.90</f>
        <v/>
      </c>
      <c r="H10" s="3">
        <f>D10+G10</f>
        <v/>
      </c>
      <c r="I10" s="3">
        <f>H10-C10</f>
        <v/>
      </c>
      <c r="J10" s="3">
        <f>J9+I10</f>
        <v/>
      </c>
      <c r="K10" s="30">
        <f>IF(J10&lt;0,-J10,0)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 t="n">
        <v>0</v>
      </c>
      <c r="E11" t="n">
        <v>4</v>
      </c>
      <c r="F11" s="3">
        <f>E11*(TotalRevenue/50)*0.25</f>
        <v/>
      </c>
      <c r="G11" s="3">
        <f>F11*0.90</f>
        <v/>
      </c>
      <c r="H11" s="3">
        <f>D11+G11</f>
        <v/>
      </c>
      <c r="I11" s="3">
        <f>H11-C11</f>
        <v/>
      </c>
      <c r="J11" s="3">
        <f>J10+I11</f>
        <v/>
      </c>
      <c r="K11" s="30">
        <f>IF(J11&lt;0,-J11,0)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 t="n">
        <v>0</v>
      </c>
      <c r="E12" t="n">
        <v>4</v>
      </c>
      <c r="F12" s="3">
        <f>E12*(TotalRevenue/50)*0.25</f>
        <v/>
      </c>
      <c r="G12" s="3">
        <f>F12*0.90</f>
        <v/>
      </c>
      <c r="H12" s="3">
        <f>D12+G12</f>
        <v/>
      </c>
      <c r="I12" s="3">
        <f>H12-C12</f>
        <v/>
      </c>
      <c r="J12" s="3">
        <f>J11+I12</f>
        <v/>
      </c>
      <c r="K12" s="30">
        <f>IF(J12&lt;0,-J12,0)</f>
        <v/>
      </c>
    </row>
    <row r="13">
      <c r="A13" t="n">
        <v>9</v>
      </c>
      <c r="B13" t="inlineStr">
        <is>
          <t>Envelope</t>
        </is>
      </c>
      <c r="C13" s="3">
        <f>TotalHardCosts*0.07</f>
        <v/>
      </c>
      <c r="D13" s="3" t="n">
        <v>0</v>
      </c>
      <c r="E13" t="n">
        <v>4</v>
      </c>
      <c r="F13" s="3">
        <f>E13*(TotalRevenue/50)*0.25</f>
        <v/>
      </c>
      <c r="G13" s="3">
        <f>F13*0.90</f>
        <v/>
      </c>
      <c r="H13" s="3">
        <f>D13+G13</f>
        <v/>
      </c>
      <c r="I13" s="3">
        <f>H13-C13</f>
        <v/>
      </c>
      <c r="J13" s="3">
        <f>J12+I13</f>
        <v/>
      </c>
      <c r="K13" s="30">
        <f>IF(J13&lt;0,-J13,0)</f>
        <v/>
      </c>
    </row>
    <row r="14">
      <c r="A14" t="n">
        <v>10</v>
      </c>
      <c r="B14" t="inlineStr">
        <is>
          <t>Envelope</t>
        </is>
      </c>
      <c r="C14" s="3">
        <f>TotalHardCosts*0.07</f>
        <v/>
      </c>
      <c r="D14" s="3" t="n">
        <v>0</v>
      </c>
      <c r="E14" t="n">
        <v>4</v>
      </c>
      <c r="F14" s="3">
        <f>E14*(TotalRevenue/50)*0.25</f>
        <v/>
      </c>
      <c r="G14" s="3">
        <f>F14*0.90</f>
        <v/>
      </c>
      <c r="H14" s="3">
        <f>D14+G14</f>
        <v/>
      </c>
      <c r="I14" s="3">
        <f>H14-C14</f>
        <v/>
      </c>
      <c r="J14" s="3">
        <f>J13+I14</f>
        <v/>
      </c>
      <c r="K14" s="30">
        <f>IF(J14&lt;0,-J14,0)</f>
        <v/>
      </c>
    </row>
    <row r="15">
      <c r="A15" t="n">
        <v>11</v>
      </c>
      <c r="B15" t="inlineStr">
        <is>
          <t>MEP Rough-In</t>
        </is>
      </c>
      <c r="C15" s="3">
        <f>TotalHardCosts*0.06</f>
        <v/>
      </c>
      <c r="D15" s="3" t="n">
        <v>0</v>
      </c>
      <c r="E15" t="n">
        <v>3</v>
      </c>
      <c r="F15" s="3">
        <f>E15*(TotalRevenue/50)*0.25</f>
        <v/>
      </c>
      <c r="G15" s="3">
        <f>F15*0.90</f>
        <v/>
      </c>
      <c r="H15" s="3">
        <f>D15+G15</f>
        <v/>
      </c>
      <c r="I15" s="3">
        <f>H15-C15</f>
        <v/>
      </c>
      <c r="J15" s="3">
        <f>J14+I15</f>
        <v/>
      </c>
      <c r="K15" s="30">
        <f>IF(J15&lt;0,-J15,0)</f>
        <v/>
      </c>
    </row>
    <row r="16">
      <c r="A16" t="n">
        <v>12</v>
      </c>
      <c r="B16" t="inlineStr">
        <is>
          <t>MEP Rough-In</t>
        </is>
      </c>
      <c r="C16" s="3">
        <f>TotalHardCosts*0.06</f>
        <v/>
      </c>
      <c r="D16" s="3" t="n">
        <v>0</v>
      </c>
      <c r="E16" t="n">
        <v>3</v>
      </c>
      <c r="F16" s="3">
        <f>E16*(TotalRevenue/50)*0.25</f>
        <v/>
      </c>
      <c r="G16" s="3">
        <f>F16*0.90</f>
        <v/>
      </c>
      <c r="H16" s="3">
        <f>D16+G16</f>
        <v/>
      </c>
      <c r="I16" s="3">
        <f>H16-C16</f>
        <v/>
      </c>
      <c r="J16" s="3">
        <f>J15+I16</f>
        <v/>
      </c>
      <c r="K16" s="30">
        <f>IF(J16&lt;0,-J16,0)</f>
        <v/>
      </c>
    </row>
    <row r="17">
      <c r="A17" t="n">
        <v>13</v>
      </c>
      <c r="B17" t="inlineStr">
        <is>
          <t>MEP Install</t>
        </is>
      </c>
      <c r="C17" s="3">
        <f>TotalHardCosts*0.05</f>
        <v/>
      </c>
      <c r="D17" s="3" t="n">
        <v>0</v>
      </c>
      <c r="E17" t="n">
        <v>2</v>
      </c>
      <c r="F17" s="3">
        <f>E17*(TotalRevenue/50)*0.25</f>
        <v/>
      </c>
      <c r="G17" s="3">
        <f>F17*0.90</f>
        <v/>
      </c>
      <c r="H17" s="3">
        <f>D17+G17</f>
        <v/>
      </c>
      <c r="I17" s="3">
        <f>H17-C17</f>
        <v/>
      </c>
      <c r="J17" s="3">
        <f>J16+I17</f>
        <v/>
      </c>
      <c r="K17" s="30">
        <f>IF(J17&lt;0,-J17,0)</f>
        <v/>
      </c>
    </row>
    <row r="18">
      <c r="A18" t="n">
        <v>14</v>
      </c>
      <c r="B18" t="inlineStr">
        <is>
          <t>MEP Install</t>
        </is>
      </c>
      <c r="C18" s="3">
        <f>TotalHardCosts*0.05</f>
        <v/>
      </c>
      <c r="D18" s="3" t="n">
        <v>0</v>
      </c>
      <c r="E18" t="n">
        <v>2</v>
      </c>
      <c r="F18" s="3">
        <f>E18*(TotalRevenue/50)*0.25</f>
        <v/>
      </c>
      <c r="G18" s="3">
        <f>F18*0.90</f>
        <v/>
      </c>
      <c r="H18" s="3">
        <f>D18+G18</f>
        <v/>
      </c>
      <c r="I18" s="3">
        <f>H18-C18</f>
        <v/>
      </c>
      <c r="J18" s="3">
        <f>J17+I18</f>
        <v/>
      </c>
      <c r="K18" s="30">
        <f>IF(J18&lt;0,-J18,0)</f>
        <v/>
      </c>
    </row>
    <row r="19">
      <c r="A19" t="n">
        <v>15</v>
      </c>
      <c r="B19" t="inlineStr">
        <is>
          <t>Interior Framing</t>
        </is>
      </c>
      <c r="C19" s="3">
        <f>TotalHardCosts*0.04</f>
        <v/>
      </c>
      <c r="D19" s="3" t="n">
        <v>0</v>
      </c>
      <c r="E19" t="n">
        <v>2</v>
      </c>
      <c r="F19" s="3">
        <f>(E19*(TotalRevenue/50)*0.25)+(SUM($E$5:E18)*(TotalRevenue/50)*0.25)</f>
        <v/>
      </c>
      <c r="G19" s="3">
        <f>F19*0.90</f>
        <v/>
      </c>
      <c r="H19" s="3">
        <f>D19+G19</f>
        <v/>
      </c>
      <c r="I19" s="3">
        <f>H19-C19</f>
        <v/>
      </c>
      <c r="J19" s="3">
        <f>J18+I19</f>
        <v/>
      </c>
      <c r="K19" s="30">
        <f>IF(J19&lt;0,-J19,0)</f>
        <v/>
      </c>
    </row>
    <row r="20">
      <c r="A20" t="n">
        <v>16</v>
      </c>
      <c r="B20" t="inlineStr">
        <is>
          <t>Interior Framing</t>
        </is>
      </c>
      <c r="C20" s="3">
        <f>TotalHardCosts*0.04</f>
        <v/>
      </c>
      <c r="D20" s="3" t="n">
        <v>0</v>
      </c>
      <c r="E20" t="n">
        <v>2</v>
      </c>
      <c r="F20" s="3">
        <f>E20*(TotalRevenue/50)*0.25</f>
        <v/>
      </c>
      <c r="G20" s="3">
        <f>F20*0.90</f>
        <v/>
      </c>
      <c r="H20" s="3">
        <f>D20+G20</f>
        <v/>
      </c>
      <c r="I20" s="3">
        <f>H20-C20</f>
        <v/>
      </c>
      <c r="J20" s="3">
        <f>J19+I20</f>
        <v/>
      </c>
      <c r="K20" s="30">
        <f>IF(J20&lt;0,-J20,0)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t="n">
        <v>1</v>
      </c>
      <c r="F21" s="3">
        <f>E21*(TotalRevenue/50)*0.25</f>
        <v/>
      </c>
      <c r="G21" s="3">
        <f>F21*0.90</f>
        <v/>
      </c>
      <c r="H21" s="3">
        <f>D21+G21</f>
        <v/>
      </c>
      <c r="I21" s="3">
        <f>H21-C21</f>
        <v/>
      </c>
      <c r="J21" s="3">
        <f>J20+I21</f>
        <v/>
      </c>
      <c r="K21" s="30">
        <f>IF(J21&lt;0,-J21,0)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t="n">
        <v>1</v>
      </c>
      <c r="F22" s="3">
        <f>E22*(TotalRevenue/50)*0.25</f>
        <v/>
      </c>
      <c r="G22" s="3">
        <f>F22*0.90</f>
        <v/>
      </c>
      <c r="H22" s="3">
        <f>D22+G22</f>
        <v/>
      </c>
      <c r="I22" s="3">
        <f>H22-C22</f>
        <v/>
      </c>
      <c r="J22" s="3">
        <f>J21+I22</f>
        <v/>
      </c>
      <c r="K22" s="30">
        <f>IF(J22&lt;0,-J22,0)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t="n">
        <v>1</v>
      </c>
      <c r="F23" s="3">
        <f>E23*(TotalRevenue/50)*0.25</f>
        <v/>
      </c>
      <c r="G23" s="3">
        <f>F23*0.90</f>
        <v/>
      </c>
      <c r="H23" s="3">
        <f>D23+G23</f>
        <v/>
      </c>
      <c r="I23" s="3">
        <f>H23-C23</f>
        <v/>
      </c>
      <c r="J23" s="3">
        <f>J22+I23</f>
        <v/>
      </c>
      <c r="K23" s="30">
        <f>IF(J23&lt;0,-J23,0)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t="n">
        <v>1</v>
      </c>
      <c r="F24" s="3">
        <f>E24*(TotalRevenue/50)*0.25</f>
        <v/>
      </c>
      <c r="G24" s="3">
        <f>F24*0.90</f>
        <v/>
      </c>
      <c r="H24" s="3">
        <f>D24+G24</f>
        <v/>
      </c>
      <c r="I24" s="3">
        <f>H24-C24</f>
        <v/>
      </c>
      <c r="J24" s="3">
        <f>J23+I24</f>
        <v/>
      </c>
      <c r="K24" s="30">
        <f>IF(J24&lt;0,-J24,0)</f>
        <v/>
      </c>
    </row>
    <row r="25">
      <c r="A25" t="n">
        <v>21</v>
      </c>
      <c r="B25" t="inlineStr">
        <is>
          <t>Closeout</t>
        </is>
      </c>
      <c r="C25" s="3">
        <f>TotalHardCosts*0.01</f>
        <v/>
      </c>
      <c r="D25" s="3" t="n">
        <v>0</v>
      </c>
      <c r="E25" t="n">
        <v>1</v>
      </c>
      <c r="F25" s="3">
        <f>E25*(TotalRevenue/50)*0.25</f>
        <v/>
      </c>
      <c r="G25" s="3">
        <f>F25*0.90</f>
        <v/>
      </c>
      <c r="H25" s="3">
        <f>D25+G25</f>
        <v/>
      </c>
      <c r="I25" s="3">
        <f>H25-C25</f>
        <v/>
      </c>
      <c r="J25" s="3">
        <f>J24+I25</f>
        <v/>
      </c>
      <c r="K25" s="30">
        <f>IF(J25&lt;0,-J25,0)</f>
        <v/>
      </c>
    </row>
    <row r="26">
      <c r="A26" t="n">
        <v>22</v>
      </c>
      <c r="B26" t="inlineStr">
        <is>
          <t>Punch List</t>
        </is>
      </c>
      <c r="C26" s="3">
        <f>TotalHardCosts*0.01</f>
        <v/>
      </c>
      <c r="D26" s="3" t="n">
        <v>0</v>
      </c>
      <c r="E26" t="n">
        <v>1</v>
      </c>
      <c r="F26" s="3">
        <f>E26*(TotalRevenue/50)*0.25</f>
        <v/>
      </c>
      <c r="G26" s="3">
        <f>F26*0.90</f>
        <v/>
      </c>
      <c r="H26" s="3">
        <f>D26+G26</f>
        <v/>
      </c>
      <c r="I26" s="3">
        <f>H26-C26</f>
        <v/>
      </c>
      <c r="J26" s="3">
        <f>J25+I26</f>
        <v/>
      </c>
      <c r="K26" s="30">
        <f>IF(J26&lt;0,-J26,0)</f>
        <v/>
      </c>
    </row>
    <row r="27">
      <c r="A27" t="n">
        <v>23</v>
      </c>
      <c r="B27" t="inlineStr">
        <is>
          <t>Final Inspection</t>
        </is>
      </c>
      <c r="C27" s="3">
        <f>TotalHardCosts*0.005</f>
        <v/>
      </c>
      <c r="D27" s="3" t="n">
        <v>0</v>
      </c>
      <c r="E27" t="n">
        <v>0</v>
      </c>
      <c r="F27" s="3">
        <f>E27*(TotalRevenue/50)*0.25</f>
        <v/>
      </c>
      <c r="G27" s="3">
        <f>F27*0.90</f>
        <v/>
      </c>
      <c r="H27" s="3">
        <f>D27+G27</f>
        <v/>
      </c>
      <c r="I27" s="3">
        <f>H27-C27</f>
        <v/>
      </c>
      <c r="J27" s="3">
        <f>J26+I27</f>
        <v/>
      </c>
      <c r="K27" s="30">
        <f>IF(J27&lt;0,-J27,0)</f>
        <v/>
      </c>
    </row>
    <row r="28">
      <c r="A28" t="n">
        <v>24</v>
      </c>
      <c r="B28" t="inlineStr">
        <is>
          <t>CO &amp; Turnover</t>
        </is>
      </c>
      <c r="C28" s="3">
        <f>TotalHardCosts*0.005</f>
        <v/>
      </c>
      <c r="D28" s="3" t="n">
        <v>0</v>
      </c>
      <c r="E28" t="n">
        <v>0</v>
      </c>
      <c r="F28" s="3">
        <f>(E28*(TotalRevenue/50)*0.25)+(SUM($E$5:E27)*(TotalRevenue/50)*0.25)</f>
        <v/>
      </c>
      <c r="G28" s="3">
        <f>F28</f>
        <v/>
      </c>
      <c r="H28" s="3">
        <f>D28+G28</f>
        <v/>
      </c>
      <c r="I28" s="3">
        <f>H28-C28</f>
        <v/>
      </c>
      <c r="J28" s="3">
        <f>J27+I28</f>
        <v/>
      </c>
      <c r="K28" s="30">
        <f>IF(J28&lt;0,-J28,0)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16">
        <f>SUM(E5:E28)</f>
        <v/>
      </c>
      <c r="F30" s="7">
        <f>SUM(F5:F28)</f>
        <v/>
      </c>
      <c r="G30" s="7">
        <f>SUM(G5:G28)</f>
        <v/>
      </c>
    </row>
    <row r="32">
      <c r="A32" s="16" t="inlineStr">
        <is>
          <t>VERIFICATION:</t>
        </is>
      </c>
      <c r="B32" t="inlineStr">
        <is>
          <t>Total Pre-Sales Payment =</t>
        </is>
      </c>
      <c r="C32" s="3">
        <f>SUM(F5:F29)</f>
        <v/>
      </c>
      <c r="D32" t="inlineStr">
        <is>
          <t>Should = Total Revenue =</t>
        </is>
      </c>
      <c r="E32" s="3">
        <f>TotalRevenue</f>
        <v/>
      </c>
    </row>
    <row r="33">
      <c r="A33" s="31" t="inlineStr">
        <is>
          <t>MAX BRIDGE LOAN NEEDED:</t>
        </is>
      </c>
      <c r="B33" s="32">
        <f>MAX(K5:K29)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7" t="inlineStr">
        <is>
          <t>CSI DIVISION BREAKDOWN - MATERIALS, LABOR &amp; WORKFORCE</t>
        </is>
      </c>
    </row>
    <row r="6">
      <c r="A6" s="17" t="inlineStr">
        <is>
          <t>CSI</t>
        </is>
      </c>
      <c r="B6" s="17" t="inlineStr">
        <is>
          <t>Description</t>
        </is>
      </c>
      <c r="C6" s="17" t="inlineStr">
        <is>
          <t>Total Cost</t>
        </is>
      </c>
      <c r="D6" s="17" t="inlineStr">
        <is>
          <t>Materials %</t>
        </is>
      </c>
      <c r="E6" s="17" t="inlineStr">
        <is>
          <t>Labor %</t>
        </is>
      </c>
      <c r="F6" s="17" t="inlineStr">
        <is>
          <t>Man-Hours</t>
        </is>
      </c>
      <c r="G6" s="17" t="inlineStr">
        <is>
          <t>Worker Type</t>
        </is>
      </c>
      <c r="H6" s="17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33" t="n">
        <v>0.4</v>
      </c>
      <c r="E7" s="33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33" t="n">
        <v>0.3</v>
      </c>
      <c r="E8" s="33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33" t="n">
        <v>0.45</v>
      </c>
      <c r="E9" s="33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33" t="n">
        <v>0.5</v>
      </c>
      <c r="E10" s="33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33" t="n">
        <v>0.65</v>
      </c>
      <c r="E11" s="33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33" t="n">
        <v>0.55</v>
      </c>
      <c r="E12" s="33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33" t="n">
        <v>0.4</v>
      </c>
      <c r="E13" s="33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33" t="n">
        <v>0.7</v>
      </c>
      <c r="E14" s="33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33" t="n">
        <v>0.45</v>
      </c>
      <c r="E15" s="33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33" t="n">
        <v>0.75</v>
      </c>
      <c r="E16" s="33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33" t="n">
        <v>0.8</v>
      </c>
      <c r="E17" s="33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33" t="n">
        <v>0.85</v>
      </c>
      <c r="E18" s="33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33" t="n">
        <v>0.6</v>
      </c>
      <c r="E19" s="33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33" t="n">
        <v>0.75</v>
      </c>
      <c r="E20" s="33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33" t="n">
        <v>0.5</v>
      </c>
      <c r="E21" s="33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33" t="n">
        <v>0.45</v>
      </c>
      <c r="E22" s="33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33" t="n">
        <v>0.5</v>
      </c>
      <c r="E23" s="33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33" t="n">
        <v>0.4</v>
      </c>
      <c r="E24" s="33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33" t="n">
        <v>0.6</v>
      </c>
      <c r="E25" s="33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33" t="n">
        <v>0.65</v>
      </c>
      <c r="E26" s="33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33" t="n">
        <v>0.25</v>
      </c>
      <c r="E27" s="33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33" t="n">
        <v>0.5</v>
      </c>
      <c r="E28" s="33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33" t="n">
        <v>0.55</v>
      </c>
      <c r="E29" s="33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6" t="inlineStr">
        <is>
          <t>SUBTOTAL - Direct Costs</t>
        </is>
      </c>
      <c r="C30" s="19">
        <f>SUM(C7:C29)</f>
        <v/>
      </c>
      <c r="F30" s="34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35">
        <f>F30+F32</f>
        <v/>
      </c>
    </row>
    <row r="39">
      <c r="A39" s="17" t="inlineStr">
        <is>
          <t>WORKFORCE SUMMARY</t>
        </is>
      </c>
    </row>
    <row r="40">
      <c r="A40" s="17" t="inlineStr">
        <is>
          <t>Category</t>
        </is>
      </c>
      <c r="B40" s="17" t="inlineStr">
        <is>
          <t>Worker Types</t>
        </is>
      </c>
      <c r="C40" s="17" t="inlineStr">
        <is>
          <t>Est. Man-Hours</t>
        </is>
      </c>
      <c r="D40" s="17" t="inlineStr">
        <is>
          <t>Avg Rate/Hr</t>
        </is>
      </c>
      <c r="E40" s="17" t="inlineStr">
        <is>
          <t>Total Labor Cost</t>
        </is>
      </c>
      <c r="F40" s="17" t="inlineStr">
        <is>
          <t>Peak Workers</t>
        </is>
      </c>
      <c r="G40" s="17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6" t="inlineStr">
        <is>
          <t>TOTAL WORKFORCE</t>
        </is>
      </c>
      <c r="C47" s="36">
        <f>SUM(C41:C45)</f>
        <v/>
      </c>
      <c r="E47" s="7">
        <f>SUM(E41:E45)</f>
        <v/>
      </c>
      <c r="F47" s="16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4">
      <c r="A4" t="inlineStr"/>
      <c r="B4" t="inlineStr"/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6">
      <c r="A6" t="inlineStr"/>
      <c r="B6" t="inlineStr"/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9">
      <c r="A9" t="inlineStr"/>
      <c r="B9" t="inlineStr"/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1">
      <c r="A11" t="inlineStr"/>
      <c r="B11" t="inlineStr"/>
    </row>
    <row r="12">
      <c r="A12" s="16" t="inlineStr">
        <is>
          <t>ALL 11 CORRECTIONS APPLIED:</t>
        </is>
      </c>
      <c r="B12" t="inlineStr"/>
    </row>
    <row r="13">
      <c r="A13" t="inlineStr">
        <is>
          <t>1. Summary - % in column C</t>
        </is>
      </c>
      <c r="B13" s="37" t="inlineStr">
        <is>
          <t>✓</t>
        </is>
      </c>
    </row>
    <row r="14">
      <c r="A14" t="inlineStr">
        <is>
          <t>2. Assumptions - % in columns C &amp; D</t>
        </is>
      </c>
      <c r="B14" s="37" t="inlineStr">
        <is>
          <t>✓</t>
        </is>
      </c>
    </row>
    <row r="15">
      <c r="A15" t="inlineStr">
        <is>
          <t>3. Soft costs = 12% of project cost</t>
        </is>
      </c>
      <c r="B15" s="37" t="inlineStr">
        <is>
          <t>✓</t>
        </is>
      </c>
    </row>
    <row r="16">
      <c r="A16" t="inlineStr">
        <is>
          <t>4. All formulas use named ranges</t>
        </is>
      </c>
      <c r="B16" s="37" t="inlineStr">
        <is>
          <t>✓</t>
        </is>
      </c>
    </row>
    <row r="17">
      <c r="A17" t="inlineStr">
        <is>
          <t>5. Cash flow with formulas &amp; 50 units</t>
        </is>
      </c>
      <c r="B17" s="37" t="inlineStr">
        <is>
          <t>✓</t>
        </is>
      </c>
    </row>
    <row r="18">
      <c r="A18" t="inlineStr">
        <is>
          <t>6. SC Cash OUT label corrected</t>
        </is>
      </c>
      <c r="B18" s="37" t="inlineStr">
        <is>
          <t>✓</t>
        </is>
      </c>
    </row>
    <row r="19">
      <c r="A19" t="inlineStr">
        <is>
          <t>7. Auto-fit columns</t>
        </is>
      </c>
      <c r="B19" s="37" t="inlineStr">
        <is>
          <t>✓</t>
        </is>
      </c>
    </row>
    <row r="20">
      <c r="A20" t="inlineStr">
        <is>
          <t>8. SF with commas throughout</t>
        </is>
      </c>
      <c r="B20" s="37" t="inlineStr">
        <is>
          <t>✓</t>
        </is>
      </c>
    </row>
    <row r="21">
      <c r="A21" t="inlineStr">
        <is>
          <t>9. Soft costs categorized IN-KIND/CASH</t>
        </is>
      </c>
      <c r="B21" s="37" t="inlineStr">
        <is>
          <t>✓</t>
        </is>
      </c>
    </row>
    <row r="22">
      <c r="A22" t="inlineStr">
        <is>
          <t>10. Project deal sheet corrected</t>
        </is>
      </c>
      <c r="B22" s="37" t="inlineStr">
        <is>
          <t>✓</t>
        </is>
      </c>
    </row>
    <row r="23">
      <c r="A23" t="inlineStr">
        <is>
          <t>11. All sheets formatted properly</t>
        </is>
      </c>
      <c r="B23" s="37" t="inlineStr">
        <is>
          <t>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2025-11-06T06:03:10Z</dcterms:created>
  <dcterms:modified xsi:type="dcterms:W3CDTF">2025-11-06T06:03:10Z</dcterms:modified>
</cp:coreProperties>
</file>