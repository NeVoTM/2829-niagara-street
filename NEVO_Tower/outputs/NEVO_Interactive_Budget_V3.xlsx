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Hard Costs" sheetId="3" state="visible" r:id="rId3"/>
    <sheet name="Soft Costs" sheetId="4" state="visible" r:id="rId4"/>
    <sheet name="Revenue" sheetId="5" state="visible" r:id="rId5"/>
    <sheet name="Project Deal Structure" sheetId="6" state="visible" r:id="rId6"/>
    <sheet name="24-Month Cash Flow" sheetId="7" state="visible" r:id="rId7"/>
    <sheet name="GC RFQ Summary" sheetId="8" state="visible" r:id="rId8"/>
    <sheet name="Sync Instructions" sheetId="9" state="visible" r:id="rId9"/>
    <sheet name="Measurements 50" sheetId="10" state="visible" r:id="rId10"/>
  </sheets>
  <definedNames>
    <definedName name="TotalProjectCost">Summary!$B$8</definedName>
    <definedName name="TotalNSF">Assumptions!$B$6</definedName>
    <definedName name="LandPartner_Land">Assumptions!$B$11</definedName>
    <definedName name="LandPartner_Cash1">Assumptions!$B$12</definedName>
    <definedName name="LandPartner_Cash2">Assumptions!$B$13</definedName>
    <definedName name="LandPartner_Deferred">Assumptions!$B$14</definedName>
    <definedName name="GC_OHP">Assumptions!$B$18</definedName>
    <definedName name="GC_GC">Assumptions!$B$19</definedName>
    <definedName name="Design_Cont">Assumptions!$B$20</definedName>
    <definedName name="Constr_Cont">Assumptions!$B$21</definedName>
    <definedName name="Owner_Cont">Assumptions!$B$22</definedName>
    <definedName name="AE_Rate">Assumptions!$B$23</definedName>
    <definedName name="Marketing_Rate">Assumptions!$B$24</definedName>
    <definedName name="Finance_Rate">Assumptions!$B$25</definedName>
    <definedName name="LTC">Assumptions!$B$26</definedName>
    <definedName name="Duration">Assumptions!$B$27</definedName>
    <definedName name="TotalGSF">Assumptions!$B$5</definedName>
    <definedName name="ConstructionSubtotal">'Hard Costs'!$E$27</definedName>
    <definedName name="TotalHardCosts">'Hard Costs'!$E$38</definedName>
    <definedName name="TotalSoftCosts">'Soft Costs'!$B$21</definedName>
    <definedName name="TotalRevenue">'Revenue'!$F$9</definedName>
    <definedName name="TotalFinancingCosts">'24-Month Cash Flow'!$B$34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.00"/>
    <numFmt numFmtId="167" formatCode="&quot;$&quot;#,##0"/>
    <numFmt numFmtId="168" formatCode="#,##0.0"/>
  </numFmts>
  <fonts count="25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4"/>
    </font>
    <font>
      <b val="1"/>
      <sz val="12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b val="1"/>
      <color rgb="000000FF"/>
    </font>
    <font>
      <b val="1"/>
      <color rgb="00FF0000"/>
    </font>
    <font>
      <i val="1"/>
    </font>
    <font>
      <b val="1"/>
      <color rgb="00008000"/>
      <sz val="12"/>
    </font>
    <font>
      <b val="1"/>
      <color rgb="00FF0000"/>
      <sz val="12"/>
    </font>
    <font>
      <b val="1"/>
      <color rgb="00008000"/>
      <sz val="14"/>
    </font>
    <font>
      <name val="Arial"/>
      <b val="1"/>
      <color theme="1"/>
      <sz val="10"/>
    </font>
    <font>
      <name val="Arial"/>
      <b val="1"/>
      <color theme="1"/>
      <sz val="11"/>
    </font>
    <font>
      <name val="Arial"/>
      <color theme="1"/>
      <sz val="10"/>
    </font>
    <font>
      <name val="Arial"/>
      <b val="1"/>
      <color theme="1"/>
      <sz val="9"/>
    </font>
    <font>
      <name val="Arial"/>
      <b val="1"/>
      <color theme="1"/>
      <sz val="12"/>
    </font>
    <font>
      <name val="Arial"/>
      <color theme="1"/>
      <sz val="12"/>
    </font>
    <font>
      <name val="Arial"/>
      <color theme="1"/>
    </font>
    <font>
      <name val="Arial"/>
      <b val="1"/>
      <color theme="1"/>
      <scheme val="minor"/>
    </font>
    <font>
      <name val="Arial"/>
      <color theme="1"/>
      <sz val="11"/>
    </font>
    <font>
      <name val="Arial"/>
      <b val="1"/>
      <color theme="1"/>
      <sz val="14"/>
    </font>
    <font>
      <name val="Arial"/>
      <b val="1"/>
      <color theme="1"/>
    </font>
  </fonts>
  <fills count="10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D700"/>
        <bgColor rgb="00FFD700"/>
      </patternFill>
    </fill>
    <fill>
      <patternFill patternType="solid">
        <fgColor rgb="00FFFF99"/>
        <bgColor rgb="00FFFF99"/>
      </patternFill>
    </fill>
    <fill>
      <patternFill patternType="solid">
        <fgColor rgb="00D3D3D3"/>
        <bgColor rgb="00D3D3D3"/>
      </patternFill>
    </fill>
    <fill>
      <patternFill patternType="solid">
        <fgColor rgb="00E6F3FF"/>
        <bgColor rgb="00E6F3FF"/>
      </patternFill>
    </fill>
    <fill>
      <patternFill patternType="solid">
        <fgColor rgb="00FFE6E6"/>
        <bgColor rgb="00FFE6E6"/>
      </patternFill>
    </fill>
    <fill>
      <patternFill patternType="solid">
        <fgColor rgb="00FFFF00"/>
        <bgColor rgb="00FFFF00"/>
      </patternFill>
    </fill>
    <fill>
      <patternFill patternType="solid">
        <fgColor rgb="0090EE90"/>
        <bgColor rgb="0090EE90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4" fontId="3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7" fillId="2" borderId="0" pivotButton="0" quotePrefix="0" xfId="0"/>
    <xf numFmtId="166" fontId="0" fillId="4" borderId="0" pivotButton="0" quotePrefix="0" xfId="0"/>
    <xf numFmtId="164" fontId="0" fillId="5" borderId="0" pivotButton="0" quotePrefix="0" xfId="0"/>
    <xf numFmtId="166" fontId="4" fillId="0" borderId="0" pivotButton="0" quotePrefix="0" xfId="0"/>
    <xf numFmtId="0" fontId="8" fillId="6" borderId="0" pivotButton="0" quotePrefix="0" xfId="0"/>
    <xf numFmtId="0" fontId="9" fillId="7" borderId="0" pivotButton="0" quotePrefix="0" xfId="0"/>
    <xf numFmtId="0" fontId="10" fillId="0" borderId="0" pivotButton="0" quotePrefix="0" xfId="0"/>
    <xf numFmtId="0" fontId="4" fillId="8" borderId="0" pivotButton="0" quotePrefix="0" xfId="0"/>
    <xf numFmtId="0" fontId="0" fillId="9" borderId="0" pivotButton="0" quotePrefix="0" xfId="0"/>
    <xf numFmtId="0" fontId="9" fillId="0" borderId="0" pivotButton="0" quotePrefix="0" xfId="0"/>
    <xf numFmtId="0" fontId="0" fillId="8" borderId="0" pivotButton="0" quotePrefix="0" xfId="0"/>
    <xf numFmtId="0" fontId="0" fillId="3" borderId="0" pivotButton="0" quotePrefix="0" xfId="0"/>
    <xf numFmtId="0" fontId="11" fillId="8" borderId="0" pivotButton="0" quotePrefix="0" xfId="0"/>
    <xf numFmtId="164" fontId="0" fillId="8" borderId="0" pivotButton="0" quotePrefix="0" xfId="0"/>
    <xf numFmtId="0" fontId="12" fillId="0" borderId="0" pivotButton="0" quotePrefix="0" xfId="0"/>
    <xf numFmtId="164" fontId="3" fillId="8" borderId="0" pivotButton="0" quotePrefix="0" xfId="0"/>
    <xf numFmtId="9" fontId="0" fillId="0" borderId="0" pivotButton="0" quotePrefix="0" xfId="0"/>
    <xf numFmtId="3" fontId="0" fillId="5" borderId="0" pivotButton="0" quotePrefix="0" xfId="0"/>
    <xf numFmtId="3" fontId="4" fillId="3" borderId="0" pivotButton="0" quotePrefix="0" xfId="0"/>
    <xf numFmtId="3" fontId="4" fillId="0" borderId="0" pivotButton="0" quotePrefix="0" xfId="0"/>
    <xf numFmtId="0" fontId="13" fillId="0" borderId="0" pivotButton="0" quotePrefix="0" xfId="0"/>
    <xf numFmtId="0" fontId="14" fillId="0" borderId="1" applyAlignment="1" pivotButton="0" quotePrefix="0" xfId="0">
      <alignment horizontal="center"/>
    </xf>
    <xf numFmtId="1" fontId="14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center" wrapText="1"/>
    </xf>
    <xf numFmtId="0" fontId="15" fillId="0" borderId="1" applyAlignment="1" pivotButton="0" quotePrefix="0" xfId="0">
      <alignment horizontal="center"/>
    </xf>
    <xf numFmtId="0" fontId="16" fillId="0" borderId="1" applyAlignment="1" pivotButton="0" quotePrefix="0" xfId="0">
      <alignment horizontal="center"/>
    </xf>
    <xf numFmtId="3" fontId="16" fillId="0" borderId="1" applyAlignment="1" pivotButton="0" quotePrefix="0" xfId="0">
      <alignment horizontal="center"/>
    </xf>
    <xf numFmtId="3" fontId="16" fillId="0" borderId="1" pivotButton="0" quotePrefix="0" xfId="0"/>
    <xf numFmtId="165" fontId="17" fillId="0" borderId="1" applyAlignment="1" pivotButton="0" quotePrefix="0" xfId="0">
      <alignment horizontal="center"/>
    </xf>
    <xf numFmtId="1" fontId="16" fillId="0" borderId="1" pivotButton="0" quotePrefix="0" xfId="0"/>
    <xf numFmtId="0" fontId="16" fillId="0" borderId="1" pivotButton="0" quotePrefix="0" xfId="0"/>
    <xf numFmtId="167" fontId="16" fillId="0" borderId="1" pivotButton="0" quotePrefix="0" xfId="0"/>
    <xf numFmtId="0" fontId="18" fillId="0" borderId="1" applyAlignment="1" pivotButton="0" quotePrefix="0" xfId="0">
      <alignment horizontal="center"/>
    </xf>
    <xf numFmtId="168" fontId="18" fillId="0" borderId="1" applyAlignment="1" pivotButton="0" quotePrefix="0" xfId="0">
      <alignment horizontal="center"/>
    </xf>
    <xf numFmtId="0" fontId="19" fillId="0" borderId="1" pivotButton="0" quotePrefix="0" xfId="0"/>
    <xf numFmtId="3" fontId="18" fillId="0" borderId="1" applyAlignment="1" pivotButton="0" quotePrefix="0" xfId="0">
      <alignment horizontal="center"/>
    </xf>
    <xf numFmtId="0" fontId="20" fillId="0" borderId="1" pivotButton="0" quotePrefix="0" xfId="0"/>
    <xf numFmtId="3" fontId="14" fillId="0" borderId="1" applyAlignment="1" pivotButton="0" quotePrefix="0" xfId="0">
      <alignment horizontal="center"/>
    </xf>
    <xf numFmtId="167" fontId="14" fillId="0" borderId="1" applyAlignment="1" pivotButton="0" quotePrefix="0" xfId="0">
      <alignment horizontal="center"/>
    </xf>
    <xf numFmtId="167" fontId="21" fillId="0" borderId="1" pivotButton="0" quotePrefix="0" xfId="0"/>
    <xf numFmtId="165" fontId="14" fillId="0" borderId="1" applyAlignment="1" pivotButton="0" quotePrefix="0" xfId="0">
      <alignment horizontal="center"/>
    </xf>
    <xf numFmtId="0" fontId="15" fillId="0" borderId="1" pivotButton="0" quotePrefix="0" xfId="0"/>
    <xf numFmtId="0" fontId="22" fillId="0" borderId="1" pivotButton="0" quotePrefix="0" xfId="0"/>
    <xf numFmtId="3" fontId="23" fillId="0" borderId="1" applyAlignment="1" pivotButton="0" quotePrefix="0" xfId="0">
      <alignment horizontal="center"/>
    </xf>
    <xf numFmtId="165" fontId="23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vertical="bottom"/>
    </xf>
    <xf numFmtId="167" fontId="24" fillId="0" borderId="1" applyAlignment="1" pivotButton="0" quotePrefix="0" xfId="0">
      <alignment vertical="bottom"/>
    </xf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1" customWidth="1" min="1" max="1"/>
    <col width="37" customWidth="1" min="2" max="2"/>
    <col width="33" customWidth="1" min="3" max="3"/>
    <col width="25" customWidth="1" min="4" max="4"/>
  </cols>
  <sheetData>
    <row r="1">
      <c r="A1" s="1" t="inlineStr">
        <is>
          <t>NEVO TOWER - EXECUTIVE SUMMARY</t>
        </is>
      </c>
    </row>
    <row r="2">
      <c r="A2" t="inlineStr">
        <is>
          <t>Generated: 2025-11-06 02:17</t>
        </is>
      </c>
    </row>
    <row r="4">
      <c r="A4" s="2" t="inlineStr">
        <is>
          <t>TOTAL DEVELOPMENT COST</t>
        </is>
      </c>
    </row>
    <row r="5">
      <c r="A5" t="inlineStr">
        <is>
          <t>SC Cash Payment (Project Cost)</t>
        </is>
      </c>
      <c r="B5" s="3">
        <f>LandPartner_Cash1+LandPartner_Cash2</f>
        <v/>
      </c>
      <c r="C5" s="4">
        <f>B5/TotalProjectCost</f>
        <v/>
      </c>
    </row>
    <row r="6">
      <c r="A6" t="inlineStr">
        <is>
          <t>Hard Costs</t>
        </is>
      </c>
      <c r="B6" s="3">
        <f>TotalHardCosts</f>
        <v/>
      </c>
      <c r="C6" s="4">
        <f>TotalHardCosts/TotalProjectCost</f>
        <v/>
      </c>
    </row>
    <row r="7">
      <c r="A7" t="inlineStr">
        <is>
          <t>Soft Costs</t>
        </is>
      </c>
      <c r="B7" s="3">
        <f>TotalSoftCosts</f>
        <v/>
      </c>
      <c r="C7" s="4">
        <f>TotalSoftCosts/TotalProjectCost</f>
        <v/>
      </c>
    </row>
    <row r="8">
      <c r="A8" s="5" t="inlineStr">
        <is>
          <t>TOTAL PROJECT COST</t>
        </is>
      </c>
      <c r="B8" s="6">
        <f>SUM(B5:B7)</f>
        <v/>
      </c>
      <c r="C8" t="inlineStr">
        <is>
          <t>100.0%</t>
        </is>
      </c>
    </row>
    <row r="10">
      <c r="A10" s="2" t="inlineStr">
        <is>
          <t>REVENUE</t>
        </is>
      </c>
    </row>
    <row r="11">
      <c r="A11" t="inlineStr">
        <is>
          <t>Total Revenue</t>
        </is>
      </c>
      <c r="B11" s="6">
        <f>TotalRevenue</f>
        <v/>
      </c>
    </row>
    <row r="13">
      <c r="A13" s="2" t="inlineStr">
        <is>
          <t>PROFITABILITY</t>
        </is>
      </c>
    </row>
    <row r="14">
      <c r="A14" t="inlineStr">
        <is>
          <t>Gross Profit</t>
        </is>
      </c>
      <c r="B14" s="7">
        <f>B11-B8</f>
        <v/>
      </c>
      <c r="C14" s="4">
        <f>(B11-B8)/B11</f>
        <v/>
      </c>
    </row>
    <row r="15">
      <c r="A15" t="inlineStr">
        <is>
          <t>Profit Margin</t>
        </is>
      </c>
      <c r="B15" s="8">
        <f>B14/B11</f>
        <v/>
      </c>
    </row>
    <row r="16">
      <c r="A16" t="inlineStr">
        <is>
          <t>Return on Cost (ROI)</t>
        </is>
      </c>
      <c r="B16" s="8">
        <f>B14/B8</f>
        <v/>
      </c>
    </row>
    <row r="18">
      <c r="A18" t="inlineStr">
        <is>
          <t>Cost per Unit (50 Condos)</t>
        </is>
      </c>
      <c r="B18" s="3">
        <f>(B8-Synagogue_Cost)/50</f>
        <v/>
      </c>
      <c r="D18" t="inlineStr">
        <is>
          <t>Excluding synagogue cost</t>
        </is>
      </c>
    </row>
    <row r="19">
      <c r="A19" t="inlineStr">
        <is>
          <t>Cost per NSF</t>
        </is>
      </c>
      <c r="B19" s="9">
        <f>B8/TotalNSF</f>
        <v/>
      </c>
    </row>
    <row r="20">
      <c r="A20" t="inlineStr">
        <is>
          <t>Revenue per NSF</t>
        </is>
      </c>
      <c r="B20" s="9">
        <f>B11/TotalNSF</f>
        <v/>
      </c>
    </row>
  </sheetData>
  <mergeCells count="5">
    <mergeCell ref="A1:D1"/>
    <mergeCell ref="A4:D4"/>
    <mergeCell ref="A2:D2"/>
    <mergeCell ref="A10:D10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43" customWidth="1" min="1" max="1"/>
    <col width="20" customWidth="1" min="2" max="2"/>
    <col width="16" customWidth="1" min="3" max="3"/>
    <col width="49" customWidth="1" min="4" max="4"/>
  </cols>
  <sheetData>
    <row r="1">
      <c r="A1" s="10" t="inlineStr">
        <is>
          <t>NEVO TOWER - PROJECT ASSUMPTIONS</t>
        </is>
      </c>
    </row>
    <row r="3">
      <c r="A3" s="11" t="inlineStr">
        <is>
          <t>PROJECT INFORMATION</t>
        </is>
      </c>
    </row>
    <row r="5">
      <c r="A5" t="inlineStr">
        <is>
          <t>Total GSF</t>
        </is>
      </c>
      <c r="B5" s="12" t="n">
        <v>108675</v>
      </c>
      <c r="C5" s="4" t="n">
        <v>1</v>
      </c>
    </row>
    <row r="6">
      <c r="A6" t="inlineStr">
        <is>
          <t>Total NSF</t>
        </is>
      </c>
      <c r="B6" s="12" t="n">
        <v>86940</v>
      </c>
      <c r="C6" s="4">
        <f>86940/108675</f>
        <v/>
      </c>
    </row>
    <row r="7">
      <c r="A7" t="inlineStr">
        <is>
          <t>Residential Units</t>
        </is>
      </c>
      <c r="B7" t="n">
        <v>50</v>
      </c>
      <c r="C7" s="4" t="n">
        <v>1</v>
      </c>
    </row>
    <row r="9">
      <c r="A9" s="11" t="inlineStr">
        <is>
          <t>LAND PARTNER STRUCTURE</t>
        </is>
      </c>
    </row>
    <row r="11">
      <c r="A11" t="inlineStr">
        <is>
          <t>Land Partner - Land (In-Kind)</t>
        </is>
      </c>
      <c r="B11" s="13" t="n">
        <v>8000000</v>
      </c>
      <c r="C11" s="4">
        <f>B11/10000000</f>
        <v/>
      </c>
      <c r="D11" t="inlineStr">
        <is>
          <t>Land value $10M total - $2M paid cash</t>
        </is>
      </c>
    </row>
    <row r="12">
      <c r="A12" t="inlineStr">
        <is>
          <t>SC Key Money (Month 0)</t>
        </is>
      </c>
      <c r="B12" s="13" t="n">
        <v>1250000</v>
      </c>
      <c r="C12" s="4">
        <f>B12/2000000</f>
        <v/>
      </c>
      <c r="D12" t="inlineStr">
        <is>
          <t>Developer pays SC to enter deal</t>
        </is>
      </c>
    </row>
    <row r="13">
      <c r="A13" t="inlineStr">
        <is>
          <t>SC Payment (Month 6)</t>
        </is>
      </c>
      <c r="B13" s="13" t="n">
        <v>750000</v>
      </c>
      <c r="C13" s="4">
        <f>B13/2000000</f>
        <v/>
      </c>
      <c r="D13" t="inlineStr">
        <is>
          <t>Additional payment to SC</t>
        </is>
      </c>
    </row>
    <row r="14">
      <c r="A14" t="inlineStr">
        <is>
          <t>Land Partner - Deferred Payment</t>
        </is>
      </c>
      <c r="B14" s="13" t="n">
        <v>0</v>
      </c>
      <c r="C14" s="4" t="n">
        <v>0</v>
      </c>
      <c r="D14" t="inlineStr">
        <is>
          <t>$8M paid at exit (NOT a cost)</t>
        </is>
      </c>
    </row>
    <row r="16">
      <c r="A16" s="11" t="inlineStr">
        <is>
          <t>COST ASSUMPTIONS</t>
        </is>
      </c>
    </row>
    <row r="18">
      <c r="A18" t="inlineStr">
        <is>
          <t>GC Overhead &amp; Profit</t>
        </is>
      </c>
      <c r="B18" s="14" t="n">
        <v>0.1</v>
      </c>
      <c r="C18" t="inlineStr">
        <is>
          <t>%</t>
        </is>
      </c>
    </row>
    <row r="19">
      <c r="A19" t="inlineStr">
        <is>
          <t>General Conditions</t>
        </is>
      </c>
      <c r="B19" s="14" t="n">
        <v>0.09</v>
      </c>
      <c r="C19" t="inlineStr">
        <is>
          <t>%</t>
        </is>
      </c>
    </row>
    <row r="20">
      <c r="A20" t="inlineStr">
        <is>
          <t>Design Contingency</t>
        </is>
      </c>
      <c r="B20" s="14" t="n">
        <v>0.08</v>
      </c>
      <c r="C20" t="inlineStr">
        <is>
          <t>%</t>
        </is>
      </c>
    </row>
    <row r="21">
      <c r="A21" t="inlineStr">
        <is>
          <t>Construction Contingency</t>
        </is>
      </c>
      <c r="B21" s="14" t="n">
        <v>0.05</v>
      </c>
      <c r="C21" t="inlineStr">
        <is>
          <t>%</t>
        </is>
      </c>
    </row>
    <row r="22">
      <c r="A22" t="inlineStr">
        <is>
          <t>Owner Contingency</t>
        </is>
      </c>
      <c r="B22" s="14" t="n">
        <v>0.03</v>
      </c>
      <c r="C22" t="inlineStr">
        <is>
          <t>%</t>
        </is>
      </c>
    </row>
    <row r="23">
      <c r="A23" t="inlineStr">
        <is>
          <t>A&amp;E Fee Rate</t>
        </is>
      </c>
      <c r="B23" s="14" t="n">
        <v>0.038</v>
      </c>
      <c r="C23" t="inlineStr">
        <is>
          <t>%</t>
        </is>
      </c>
    </row>
    <row r="24">
      <c r="A24" t="inlineStr">
        <is>
          <t>Marketing Rate</t>
        </is>
      </c>
      <c r="B24" s="14" t="n">
        <v>0.02</v>
      </c>
      <c r="C24" t="inlineStr">
        <is>
          <t>%</t>
        </is>
      </c>
    </row>
    <row r="25">
      <c r="A25" t="inlineStr">
        <is>
          <t>Financing Rate</t>
        </is>
      </c>
      <c r="B25" s="14" t="n">
        <v>0.08500000000000001</v>
      </c>
      <c r="C25" t="inlineStr">
        <is>
          <t>%</t>
        </is>
      </c>
    </row>
    <row r="26">
      <c r="A26" t="inlineStr">
        <is>
          <t>Loan to Cost</t>
        </is>
      </c>
      <c r="B26" s="14" t="n">
        <v>0.75</v>
      </c>
      <c r="C26" t="inlineStr">
        <is>
          <t>%</t>
        </is>
      </c>
    </row>
    <row r="27">
      <c r="A27" t="inlineStr">
        <is>
          <t>Construction Duration</t>
        </is>
      </c>
      <c r="B27" s="15" t="n">
        <v>24</v>
      </c>
      <c r="C27" t="inlineStr">
        <is>
          <t>months</t>
        </is>
      </c>
    </row>
    <row r="28">
      <c r="A28" t="inlineStr">
        <is>
          <t>Bridge Loan Duration</t>
        </is>
      </c>
      <c r="B28" s="15" t="n">
        <v>9</v>
      </c>
      <c r="C28" t="inlineStr">
        <is>
          <t>months</t>
        </is>
      </c>
    </row>
    <row r="32">
      <c r="A32" s="11" t="inlineStr">
        <is>
          <t>NAMED RANGES - How Formulas Connect Sheets</t>
        </is>
      </c>
    </row>
    <row r="33">
      <c r="A33" s="16" t="inlineStr">
        <is>
          <t>Range Name</t>
        </is>
      </c>
      <c r="B33" s="16" t="inlineStr">
        <is>
          <t>Location</t>
        </is>
      </c>
      <c r="C33" s="16" t="inlineStr">
        <is>
          <t>Value</t>
        </is>
      </c>
      <c r="D33" s="16" t="inlineStr">
        <is>
          <t>Description</t>
        </is>
      </c>
    </row>
    <row r="34">
      <c r="A34" t="inlineStr">
        <is>
          <t>LandPartner_Land</t>
        </is>
      </c>
      <c r="B34" t="inlineStr">
        <is>
          <t>B11</t>
        </is>
      </c>
      <c r="C34">
        <f>B11</f>
        <v/>
      </c>
      <c r="D34" t="inlineStr">
        <is>
          <t>80% - SC land in-kind ($8M)</t>
        </is>
      </c>
    </row>
    <row r="35">
      <c r="A35" t="inlineStr">
        <is>
          <t>LandPartner_Cash1</t>
        </is>
      </c>
      <c r="B35" t="inlineStr">
        <is>
          <t>B12</t>
        </is>
      </c>
      <c r="C35">
        <f>B12</f>
        <v/>
      </c>
      <c r="D35" t="inlineStr">
        <is>
          <t>62.5% - SC cash Month 0 ($1.25M)</t>
        </is>
      </c>
    </row>
    <row r="36">
      <c r="A36" t="inlineStr">
        <is>
          <t>LandPartner_Cash2</t>
        </is>
      </c>
      <c r="B36" t="inlineStr">
        <is>
          <t>B13</t>
        </is>
      </c>
      <c r="C36">
        <f>B13</f>
        <v/>
      </c>
      <c r="D36" t="inlineStr">
        <is>
          <t>37.5% - SC cash Month 6 ($750K)</t>
        </is>
      </c>
    </row>
    <row r="37">
      <c r="A37" t="inlineStr">
        <is>
          <t>TotalHardCosts</t>
        </is>
      </c>
      <c r="B37" t="inlineStr">
        <is>
          <t>'Hard Costs'!E[row]</t>
        </is>
      </c>
      <c r="C37">
        <f>TotalHardCosts</f>
        <v/>
      </c>
      <c r="D37" t="inlineStr">
        <is>
          <t>~85% - All construction costs</t>
        </is>
      </c>
    </row>
    <row r="38">
      <c r="A38" t="inlineStr">
        <is>
          <t>TotalSoftCosts</t>
        </is>
      </c>
      <c r="B38" t="inlineStr">
        <is>
          <t>'Soft Costs'!B[row]</t>
        </is>
      </c>
      <c r="C38">
        <f>TotalSoftCosts</f>
        <v/>
      </c>
      <c r="D38" t="inlineStr">
        <is>
          <t>~12% - Design, permits, financing</t>
        </is>
      </c>
    </row>
    <row r="39">
      <c r="A39" t="inlineStr">
        <is>
          <t>TotalRevenue</t>
        </is>
      </c>
      <c r="B39" t="inlineStr">
        <is>
          <t>'Revenue'!F[row]</t>
        </is>
      </c>
      <c r="C39">
        <f>TotalRevenue</f>
        <v/>
      </c>
      <c r="D39" t="inlineStr">
        <is>
          <t>100% - Total project revenue</t>
        </is>
      </c>
    </row>
    <row r="40">
      <c r="A40" t="inlineStr">
        <is>
          <t>GC_OHP</t>
        </is>
      </c>
      <c r="B40" t="inlineStr">
        <is>
          <t>B18</t>
        </is>
      </c>
      <c r="C40">
        <f>GC_OHP</f>
        <v/>
      </c>
      <c r="D40" t="inlineStr">
        <is>
          <t>10% - GC overhead &amp; profit rate</t>
        </is>
      </c>
    </row>
    <row r="41">
      <c r="A41" t="inlineStr">
        <is>
          <t>AE_Rate</t>
        </is>
      </c>
      <c r="B41" t="inlineStr">
        <is>
          <t>B23</t>
        </is>
      </c>
      <c r="C41">
        <f>AE_Rate</f>
        <v/>
      </c>
      <c r="D41" t="inlineStr">
        <is>
          <t>3.8% - Architecture &amp; engineering fee</t>
        </is>
      </c>
    </row>
    <row r="42">
      <c r="A42" t="inlineStr">
        <is>
          <t>Marketing_Rate</t>
        </is>
      </c>
      <c r="B42" t="inlineStr">
        <is>
          <t>B24</t>
        </is>
      </c>
      <c r="C42">
        <f>Marketing_Rate</f>
        <v/>
      </c>
      <c r="D42" t="inlineStr">
        <is>
          <t>2.0% - Marketing &amp; sales rate</t>
        </is>
      </c>
    </row>
    <row r="43">
      <c r="A43" t="inlineStr">
        <is>
          <t>LTC</t>
        </is>
      </c>
      <c r="B43" t="inlineStr">
        <is>
          <t>B26</t>
        </is>
      </c>
      <c r="C43">
        <f>LTC</f>
        <v/>
      </c>
      <c r="D43" t="inlineStr">
        <is>
          <t>75% - Loan-to-cost ratio</t>
        </is>
      </c>
    </row>
    <row r="45">
      <c r="A45" s="16" t="inlineStr">
        <is>
          <t>HOW TO USE NAMED RANGES:</t>
        </is>
      </c>
      <c r="D45" t="inlineStr">
        <is>
          <t>Type = then the range name in any formula</t>
        </is>
      </c>
    </row>
    <row r="46">
      <c r="A46" t="inlineStr">
        <is>
          <t>Example:</t>
        </is>
      </c>
      <c r="D46">
        <f>TotalHardCosts*0.05 calculates 5% of hard costs</f>
        <v/>
      </c>
    </row>
  </sheetData>
  <mergeCells count="5">
    <mergeCell ref="A1:D1"/>
    <mergeCell ref="A9:D9"/>
    <mergeCell ref="A3:D3"/>
    <mergeCell ref="A16:D16"/>
    <mergeCell ref="A32:D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32" customWidth="1" min="2" max="2"/>
    <col width="13" customWidth="1" min="3" max="3"/>
    <col width="10" customWidth="1" min="4" max="4"/>
    <col width="18" customWidth="1" min="5" max="5"/>
  </cols>
  <sheetData>
    <row r="1">
      <c r="A1" s="10" t="inlineStr">
        <is>
          <t>HARD COSTS - CSI MASTERFORMAT DIVISIONS</t>
        </is>
      </c>
    </row>
    <row r="3">
      <c r="A3" s="17" t="inlineStr">
        <is>
          <t>CSI</t>
        </is>
      </c>
      <c r="B3" s="17" t="inlineStr">
        <is>
          <t>Description</t>
        </is>
      </c>
      <c r="C3" s="17" t="inlineStr">
        <is>
          <t>Rate ($/GSF)</t>
        </is>
      </c>
      <c r="D3" s="17" t="inlineStr">
        <is>
          <t>GSF</t>
        </is>
      </c>
      <c r="E3" s="17" t="inlineStr">
        <is>
          <t>Total Cost</t>
        </is>
      </c>
    </row>
    <row r="4">
      <c r="A4" t="inlineStr">
        <is>
          <t>01</t>
        </is>
      </c>
      <c r="B4" t="inlineStr">
        <is>
          <t>General Requirements</t>
        </is>
      </c>
      <c r="C4" s="18" t="n">
        <v>10.53</v>
      </c>
      <c r="D4" s="12">
        <f>TotalGSF</f>
        <v/>
      </c>
      <c r="E4" s="3">
        <f>C4*D4</f>
        <v/>
      </c>
    </row>
    <row r="5">
      <c r="A5" t="inlineStr">
        <is>
          <t>02</t>
        </is>
      </c>
      <c r="B5" t="inlineStr">
        <is>
          <t>Existing Conditions &amp; Site Work</t>
        </is>
      </c>
      <c r="C5" s="18" t="n">
        <v>4.56</v>
      </c>
      <c r="D5" s="12">
        <f>TotalGSF</f>
        <v/>
      </c>
      <c r="E5" s="3">
        <f>C5*D5</f>
        <v/>
      </c>
    </row>
    <row r="6">
      <c r="A6" t="inlineStr">
        <is>
          <t>03</t>
        </is>
      </c>
      <c r="B6" t="inlineStr">
        <is>
          <t>Concrete - Pour-in-Place PT</t>
        </is>
      </c>
      <c r="C6" s="18" t="n">
        <v>39.47</v>
      </c>
      <c r="D6" s="12">
        <f>TotalGSF</f>
        <v/>
      </c>
      <c r="E6" s="3">
        <f>C6*D6</f>
        <v/>
      </c>
    </row>
    <row r="7">
      <c r="A7" t="inlineStr">
        <is>
          <t>04</t>
        </is>
      </c>
      <c r="B7" t="inlineStr">
        <is>
          <t>Masonry</t>
        </is>
      </c>
      <c r="C7" s="18" t="n">
        <v>2.46</v>
      </c>
      <c r="D7" s="12">
        <f>TotalGSF</f>
        <v/>
      </c>
      <c r="E7" s="3">
        <f>C7*D7</f>
        <v/>
      </c>
    </row>
    <row r="8">
      <c r="A8" t="inlineStr">
        <is>
          <t>05</t>
        </is>
      </c>
      <c r="B8" t="inlineStr">
        <is>
          <t>Metals</t>
        </is>
      </c>
      <c r="C8" s="18" t="n">
        <v>7.45</v>
      </c>
      <c r="D8" s="12">
        <f>TotalGSF</f>
        <v/>
      </c>
      <c r="E8" s="3">
        <f>C8*D8</f>
        <v/>
      </c>
    </row>
    <row r="9">
      <c r="A9" t="inlineStr">
        <is>
          <t>06</t>
        </is>
      </c>
      <c r="B9" t="inlineStr">
        <is>
          <t>Wood &amp; Plastics</t>
        </is>
      </c>
      <c r="C9" s="18" t="n">
        <v>2.81</v>
      </c>
      <c r="D9" s="12">
        <f>TotalGSF</f>
        <v/>
      </c>
      <c r="E9" s="3">
        <f>C9*D9</f>
        <v/>
      </c>
    </row>
    <row r="10">
      <c r="A10" t="inlineStr">
        <is>
          <t>07</t>
        </is>
      </c>
      <c r="B10" t="inlineStr">
        <is>
          <t>Thermal &amp; Moisture Protection</t>
        </is>
      </c>
      <c r="C10" s="18" t="n">
        <v>19.3</v>
      </c>
      <c r="D10" s="12">
        <f>TotalGSF</f>
        <v/>
      </c>
      <c r="E10" s="3">
        <f>C10*D10</f>
        <v/>
      </c>
    </row>
    <row r="11">
      <c r="A11" t="inlineStr">
        <is>
          <t>08</t>
        </is>
      </c>
      <c r="B11" t="inlineStr">
        <is>
          <t>Openings (Doors, Windows, HVHZ)</t>
        </is>
      </c>
      <c r="C11" s="18" t="n">
        <v>24.55</v>
      </c>
      <c r="D11" s="12">
        <f>TotalGSF</f>
        <v/>
      </c>
      <c r="E11" s="3">
        <f>C11*D11</f>
        <v/>
      </c>
    </row>
    <row r="12">
      <c r="A12" t="inlineStr">
        <is>
          <t>09</t>
        </is>
      </c>
      <c r="B12" t="inlineStr">
        <is>
          <t>Finishes</t>
        </is>
      </c>
      <c r="C12" s="18" t="n">
        <v>36.83</v>
      </c>
      <c r="D12" s="12">
        <f>TotalGSF</f>
        <v/>
      </c>
      <c r="E12" s="3">
        <f>C12*D12</f>
        <v/>
      </c>
    </row>
    <row r="13">
      <c r="A13" t="inlineStr">
        <is>
          <t>10</t>
        </is>
      </c>
      <c r="B13" t="inlineStr">
        <is>
          <t>Specialties</t>
        </is>
      </c>
      <c r="C13" s="18" t="n">
        <v>3.95</v>
      </c>
      <c r="D13" s="12">
        <f>TotalGSF</f>
        <v/>
      </c>
      <c r="E13" s="3">
        <f>C13*D13</f>
        <v/>
      </c>
    </row>
    <row r="14">
      <c r="A14" t="inlineStr">
        <is>
          <t>11</t>
        </is>
      </c>
      <c r="B14" t="inlineStr">
        <is>
          <t>Equipment</t>
        </is>
      </c>
      <c r="C14" s="18" t="n">
        <v>3.33</v>
      </c>
      <c r="D14" s="12">
        <f>TotalGSF</f>
        <v/>
      </c>
      <c r="E14" s="3">
        <f>C14*D14</f>
        <v/>
      </c>
    </row>
    <row r="15">
      <c r="A15" t="inlineStr">
        <is>
          <t>12</t>
        </is>
      </c>
      <c r="B15" t="inlineStr">
        <is>
          <t>Furnishings</t>
        </is>
      </c>
      <c r="C15" s="18" t="n">
        <v>1.05</v>
      </c>
      <c r="D15" s="12">
        <f>TotalGSF</f>
        <v/>
      </c>
      <c r="E15" s="3">
        <f>C15*D15</f>
        <v/>
      </c>
    </row>
    <row r="16">
      <c r="A16" t="inlineStr">
        <is>
          <t>13</t>
        </is>
      </c>
      <c r="B16" t="inlineStr">
        <is>
          <t>Special Construction</t>
        </is>
      </c>
      <c r="C16" s="18" t="n">
        <v>1.58</v>
      </c>
      <c r="D16" s="12">
        <f>TotalGSF</f>
        <v/>
      </c>
      <c r="E16" s="3">
        <f>C16*D16</f>
        <v/>
      </c>
    </row>
    <row r="17">
      <c r="A17" t="inlineStr">
        <is>
          <t>14</t>
        </is>
      </c>
      <c r="B17" t="inlineStr">
        <is>
          <t>Conveying Equipment</t>
        </is>
      </c>
      <c r="C17" s="18" t="n">
        <v>2.72</v>
      </c>
      <c r="D17" s="12">
        <f>TotalGSF</f>
        <v/>
      </c>
      <c r="E17" s="3">
        <f>C17*D17</f>
        <v/>
      </c>
    </row>
    <row r="18">
      <c r="A18" t="inlineStr">
        <is>
          <t>21</t>
        </is>
      </c>
      <c r="B18" t="inlineStr">
        <is>
          <t>Fire Suppression</t>
        </is>
      </c>
      <c r="C18" s="18" t="n">
        <v>6.58</v>
      </c>
      <c r="D18" s="12">
        <f>TotalGSF</f>
        <v/>
      </c>
      <c r="E18" s="3">
        <f>C18*D18</f>
        <v/>
      </c>
    </row>
    <row r="19">
      <c r="A19" t="inlineStr">
        <is>
          <t>22</t>
        </is>
      </c>
      <c r="B19" t="inlineStr">
        <is>
          <t>Plumbing</t>
        </is>
      </c>
      <c r="C19" s="18" t="n">
        <v>8.77</v>
      </c>
      <c r="D19" s="12">
        <f>TotalGSF</f>
        <v/>
      </c>
      <c r="E19" s="3">
        <f>C19*D19</f>
        <v/>
      </c>
    </row>
    <row r="20">
      <c r="A20" t="inlineStr">
        <is>
          <t>23</t>
        </is>
      </c>
      <c r="B20" t="inlineStr">
        <is>
          <t>HVAC</t>
        </is>
      </c>
      <c r="C20" s="18" t="n">
        <v>13.15</v>
      </c>
      <c r="D20" s="12">
        <f>TotalGSF</f>
        <v/>
      </c>
      <c r="E20" s="3">
        <f>C20*D20</f>
        <v/>
      </c>
    </row>
    <row r="21">
      <c r="A21" t="inlineStr">
        <is>
          <t>26</t>
        </is>
      </c>
      <c r="B21" t="inlineStr">
        <is>
          <t>Electrical</t>
        </is>
      </c>
      <c r="C21" s="18" t="n">
        <v>13.15</v>
      </c>
      <c r="D21" s="12">
        <f>TotalGSF</f>
        <v/>
      </c>
      <c r="E21" s="3">
        <f>C21*D21</f>
        <v/>
      </c>
    </row>
    <row r="22">
      <c r="A22" t="inlineStr">
        <is>
          <t>27</t>
        </is>
      </c>
      <c r="B22" t="inlineStr">
        <is>
          <t>Communications</t>
        </is>
      </c>
      <c r="C22" s="18" t="n">
        <v>1.75</v>
      </c>
      <c r="D22" s="12">
        <f>TotalGSF</f>
        <v/>
      </c>
      <c r="E22" s="3">
        <f>C22*D22</f>
        <v/>
      </c>
    </row>
    <row r="23">
      <c r="A23" t="inlineStr">
        <is>
          <t>28</t>
        </is>
      </c>
      <c r="B23" t="inlineStr">
        <is>
          <t>Electronic Safety &amp; Security</t>
        </is>
      </c>
      <c r="C23" s="18" t="n">
        <v>1.75</v>
      </c>
      <c r="D23" s="12">
        <f>TotalGSF</f>
        <v/>
      </c>
      <c r="E23" s="3">
        <f>C23*D23</f>
        <v/>
      </c>
    </row>
    <row r="24">
      <c r="A24" t="inlineStr">
        <is>
          <t>31</t>
        </is>
      </c>
      <c r="B24" t="inlineStr">
        <is>
          <t>Earthwork</t>
        </is>
      </c>
      <c r="C24" s="18" t="n">
        <v>3.68</v>
      </c>
      <c r="D24" s="12">
        <f>TotalGSF</f>
        <v/>
      </c>
      <c r="E24" s="3">
        <f>C24*D24</f>
        <v/>
      </c>
    </row>
    <row r="25">
      <c r="A25" t="inlineStr">
        <is>
          <t>32</t>
        </is>
      </c>
      <c r="B25" t="inlineStr">
        <is>
          <t>Exterior Improvements</t>
        </is>
      </c>
      <c r="C25" s="18" t="n">
        <v>3.51</v>
      </c>
      <c r="D25" s="12">
        <f>TotalGSF</f>
        <v/>
      </c>
      <c r="E25" s="3">
        <f>C25*D25</f>
        <v/>
      </c>
    </row>
    <row r="26">
      <c r="A26" t="inlineStr">
        <is>
          <t>33</t>
        </is>
      </c>
      <c r="B26" t="inlineStr">
        <is>
          <t>Utilities</t>
        </is>
      </c>
      <c r="C26" s="18" t="n">
        <v>2.81</v>
      </c>
      <c r="D26" s="12">
        <f>TotalGSF</f>
        <v/>
      </c>
      <c r="E26" s="3">
        <f>C26*D26</f>
        <v/>
      </c>
    </row>
    <row r="27">
      <c r="B27" s="16" t="inlineStr">
        <is>
          <t>SUBTOTAL - Construction</t>
        </is>
      </c>
      <c r="E27" s="19">
        <f>SUM(E4:E26)</f>
        <v/>
      </c>
    </row>
    <row r="29">
      <c r="B29" t="inlineStr">
        <is>
          <t>General Conditions</t>
        </is>
      </c>
      <c r="C29" s="4">
        <f>GC_GC</f>
        <v/>
      </c>
      <c r="E29" s="3">
        <f>E27*GC_GC</f>
        <v/>
      </c>
    </row>
    <row r="30">
      <c r="B30" t="inlineStr">
        <is>
          <t>Overhead &amp; Profit</t>
        </is>
      </c>
      <c r="C30" s="4">
        <f>GC_OHP</f>
        <v/>
      </c>
      <c r="E30" s="3">
        <f>(E27+E29)*GC_OHP</f>
        <v/>
      </c>
    </row>
    <row r="32">
      <c r="B32" s="16" t="inlineStr">
        <is>
          <t>Subtotal before Contingency</t>
        </is>
      </c>
      <c r="E32" s="19">
        <f>E27+E29+E30</f>
        <v/>
      </c>
    </row>
    <row r="34">
      <c r="B34" t="inlineStr">
        <is>
          <t>Design Contingency</t>
        </is>
      </c>
      <c r="C34" s="4">
        <f>Design_Cont</f>
        <v/>
      </c>
      <c r="E34" s="3">
        <f>E32*Design_Cont</f>
        <v/>
      </c>
    </row>
    <row r="35">
      <c r="B35" t="inlineStr">
        <is>
          <t>Construction Contingency</t>
        </is>
      </c>
      <c r="C35" s="4">
        <f>Constr_Cont</f>
        <v/>
      </c>
      <c r="E35" s="3">
        <f>E32*Constr_Cont</f>
        <v/>
      </c>
    </row>
    <row r="36">
      <c r="B36" t="inlineStr">
        <is>
          <t>Owner Contingency</t>
        </is>
      </c>
      <c r="C36" s="4">
        <f>Owner_Cont</f>
        <v/>
      </c>
      <c r="E36" s="3">
        <f>E32*Owner_Cont</f>
        <v/>
      </c>
    </row>
    <row r="38">
      <c r="B38" s="5" t="inlineStr">
        <is>
          <t>TOTAL HARD COSTS</t>
        </is>
      </c>
      <c r="E38" s="6">
        <f>E32+E34+E35+E36</f>
        <v/>
      </c>
    </row>
    <row r="39">
      <c r="B39" s="16" t="inlineStr">
        <is>
          <t>Cost per GSF</t>
        </is>
      </c>
      <c r="E39" s="20">
        <f>E38/108675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21" customWidth="1" min="3" max="3"/>
    <col width="32" customWidth="1" min="4" max="4"/>
  </cols>
  <sheetData>
    <row r="1">
      <c r="A1" s="10" t="inlineStr">
        <is>
          <t>SOFT COSTS - PAYMENT TIMING: MONTHS 1-9 vs AFTER MONTH 9</t>
        </is>
      </c>
    </row>
    <row r="2">
      <c r="A2" t="inlineStr">
        <is>
          <t>Target: 12% of Total Hard Costs | IN-KIND = Paid after Month 9 from pre-sales</t>
        </is>
      </c>
    </row>
    <row r="4">
      <c r="A4" s="17" t="inlineStr">
        <is>
          <t>Category</t>
        </is>
      </c>
      <c r="B4" s="17" t="inlineStr">
        <is>
          <t>Amount</t>
        </is>
      </c>
      <c r="C4" s="17" t="inlineStr">
        <is>
          <t>Payment Timing</t>
        </is>
      </c>
      <c r="D4" s="17" t="inlineStr">
        <is>
          <t>Basis</t>
        </is>
      </c>
    </row>
    <row r="5">
      <c r="A5" t="inlineStr">
        <is>
          <t>Architecture &amp; Engineering</t>
        </is>
      </c>
      <c r="B5" s="13">
        <f>TotalHardCosts*0.0335</f>
        <v/>
      </c>
      <c r="C5" s="21" t="inlineStr">
        <is>
          <t>IN-KIND (After Mo 9)</t>
        </is>
      </c>
      <c r="D5" t="inlineStr">
        <is>
          <t>3.35% of hard costs</t>
        </is>
      </c>
    </row>
    <row r="6">
      <c r="A6" t="inlineStr">
        <is>
          <t>Marketing &amp; Sales</t>
        </is>
      </c>
      <c r="B6" s="13">
        <f>TotalHardCosts*0.0209</f>
        <v/>
      </c>
      <c r="C6" s="21" t="inlineStr">
        <is>
          <t>IN-KIND (After Mo 9)</t>
        </is>
      </c>
      <c r="D6" t="inlineStr">
        <is>
          <t>2.09% of hard costs</t>
        </is>
      </c>
    </row>
    <row r="7">
      <c r="A7" t="inlineStr">
        <is>
          <t>Legal &amp; Accounting</t>
        </is>
      </c>
      <c r="B7" s="13">
        <f>TotalHardCosts*0.0083</f>
        <v/>
      </c>
      <c r="C7" s="21" t="inlineStr">
        <is>
          <t>IN-KIND (After Mo 9)</t>
        </is>
      </c>
      <c r="D7" t="inlineStr">
        <is>
          <t>0.83% of hard costs</t>
        </is>
      </c>
    </row>
    <row r="8">
      <c r="A8" t="inlineStr">
        <is>
          <t>Developer Fee</t>
        </is>
      </c>
      <c r="B8" s="13">
        <f>TotalHardCosts*0.0126</f>
        <v/>
      </c>
      <c r="C8" s="21" t="inlineStr">
        <is>
          <t>IN-KIND (After Mo 9)</t>
        </is>
      </c>
      <c r="D8" t="inlineStr">
        <is>
          <t>1.26% of hard costs</t>
        </is>
      </c>
    </row>
    <row r="10">
      <c r="A10" t="inlineStr">
        <is>
          <t>Building Permit</t>
        </is>
      </c>
      <c r="B10" s="13">
        <f>TotalHardCosts*0.0126</f>
        <v/>
      </c>
      <c r="C10" s="22" t="inlineStr">
        <is>
          <t>CASH (Upfront)</t>
        </is>
      </c>
      <c r="D10" t="inlineStr">
        <is>
          <t>1.26% of hard costs</t>
        </is>
      </c>
    </row>
    <row r="11">
      <c r="A11" t="inlineStr">
        <is>
          <t>Impact Fees</t>
        </is>
      </c>
      <c r="B11" s="13">
        <f>TotalHardCosts*0.0083</f>
        <v/>
      </c>
      <c r="C11" s="22" t="inlineStr">
        <is>
          <t>CASH (Upfront)</t>
        </is>
      </c>
      <c r="D11" t="inlineStr">
        <is>
          <t>0.83% of hard costs</t>
        </is>
      </c>
    </row>
    <row r="12">
      <c r="A12" t="inlineStr">
        <is>
          <t>Plan Review</t>
        </is>
      </c>
      <c r="B12" s="13">
        <f>TotalHardCosts*0.0041</f>
        <v/>
      </c>
      <c r="C12" s="22" t="inlineStr">
        <is>
          <t>CASH (Upfront)</t>
        </is>
      </c>
      <c r="D12" t="inlineStr">
        <is>
          <t>0.41% of hard costs</t>
        </is>
      </c>
    </row>
    <row r="13">
      <c r="A13" t="inlineStr">
        <is>
          <t>Insurance</t>
        </is>
      </c>
      <c r="B13" s="13">
        <f>TotalHardCosts*0.0067</f>
        <v/>
      </c>
      <c r="C13" s="22" t="inlineStr">
        <is>
          <t>CASH (Monthly)</t>
        </is>
      </c>
      <c r="D13" t="inlineStr">
        <is>
          <t>0.67% of hard costs</t>
        </is>
      </c>
    </row>
    <row r="14">
      <c r="A14" t="inlineStr">
        <is>
          <t>Testing &amp; Inspections</t>
        </is>
      </c>
      <c r="B14" s="13">
        <f>TotalHardCosts*0.0024</f>
        <v/>
      </c>
      <c r="C14" s="22" t="inlineStr">
        <is>
          <t>CASH (Ongoing)</t>
        </is>
      </c>
      <c r="D14" t="inlineStr">
        <is>
          <t>0.24% of hard costs</t>
        </is>
      </c>
    </row>
    <row r="15">
      <c r="A15" t="inlineStr">
        <is>
          <t>Utilities &amp; Misc</t>
        </is>
      </c>
      <c r="B15" s="13">
        <f>TotalHardCosts*0.0016</f>
        <v/>
      </c>
      <c r="C15" s="22" t="inlineStr">
        <is>
          <t>CASH (Monthly)</t>
        </is>
      </c>
      <c r="D15" t="inlineStr">
        <is>
          <t>0.16% of hard costs</t>
        </is>
      </c>
    </row>
    <row r="16">
      <c r="A16" t="inlineStr">
        <is>
          <t>Financing Costs (Bridge Loan)</t>
        </is>
      </c>
      <c r="B16" s="3">
        <f>TotalFinancingCosts</f>
        <v/>
      </c>
      <c r="C16" s="22" t="inlineStr">
        <is>
          <t>CASH (Variable)</t>
        </is>
      </c>
      <c r="D16" t="inlineStr">
        <is>
          <t>9% annual interest until payoff</t>
        </is>
      </c>
    </row>
    <row r="18">
      <c r="A18" t="inlineStr">
        <is>
          <t xml:space="preserve">  Note:</t>
        </is>
      </c>
      <c r="B18" t="inlineStr">
        <is>
          <t>IN-KIND costs paid after Month 9 from pre-sales revenue</t>
        </is>
      </c>
    </row>
    <row r="19">
      <c r="B19" t="inlineStr">
        <is>
          <t>Financing costs calculated dynamically based on bridge loan payoff from pre-sales</t>
        </is>
      </c>
    </row>
    <row r="21">
      <c r="A21" s="5" t="inlineStr">
        <is>
          <t>TOTAL SOFT COSTS</t>
        </is>
      </c>
      <c r="B21" s="6">
        <f>SUM(B5:B16)</f>
        <v/>
      </c>
    </row>
    <row r="22">
      <c r="A22" s="16" t="inlineStr">
        <is>
          <t>% of Hard Costs</t>
        </is>
      </c>
      <c r="B22" s="8">
        <f>B21/TotalHardCosts</f>
        <v/>
      </c>
      <c r="D22" t="inlineStr">
        <is>
          <t>Target: 12.0%</t>
        </is>
      </c>
    </row>
    <row r="23">
      <c r="A23" s="16" t="inlineStr">
        <is>
          <t>Cost per GSF</t>
        </is>
      </c>
      <c r="B23" s="20">
        <f>B21/108675</f>
        <v/>
      </c>
    </row>
  </sheetData>
  <mergeCells count="4">
    <mergeCell ref="A1:D1"/>
    <mergeCell ref="B19:D19"/>
    <mergeCell ref="B18:D1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7" customWidth="1" min="1" max="1"/>
    <col width="24" customWidth="1" min="2" max="2"/>
    <col width="13" customWidth="1" min="3" max="3"/>
    <col width="13" customWidth="1" min="4" max="4"/>
    <col width="13" customWidth="1" min="5" max="5"/>
    <col width="14" customWidth="1" min="6" max="6"/>
  </cols>
  <sheetData>
    <row r="1">
      <c r="A1" s="10" t="inlineStr">
        <is>
          <t>REVENUE ANALYSIS</t>
        </is>
      </c>
    </row>
    <row r="3">
      <c r="A3" s="17" t="inlineStr">
        <is>
          <t>Floor</t>
        </is>
      </c>
      <c r="B3" s="17" t="inlineStr">
        <is>
          <t>Unit Type</t>
        </is>
      </c>
      <c r="C3" s="17" t="inlineStr">
        <is>
          <t>Units</t>
        </is>
      </c>
      <c r="D3" s="17" t="inlineStr">
        <is>
          <t>NSF</t>
        </is>
      </c>
      <c r="E3" s="17" t="inlineStr">
        <is>
          <t>$/SF</t>
        </is>
      </c>
      <c r="F3" s="17" t="inlineStr">
        <is>
          <t>Total Revenue</t>
        </is>
      </c>
    </row>
    <row r="4">
      <c r="A4" t="inlineStr">
        <is>
          <t>4-5</t>
        </is>
      </c>
      <c r="B4" t="inlineStr">
        <is>
          <t>Hospitality 2BR/1.5BA</t>
        </is>
      </c>
      <c r="C4" t="n">
        <v>32</v>
      </c>
      <c r="D4" s="12" t="n">
        <v>25200</v>
      </c>
      <c r="E4" s="13" t="n">
        <v>1200</v>
      </c>
      <c r="F4" s="3">
        <f>D4*E4</f>
        <v/>
      </c>
    </row>
    <row r="5">
      <c r="A5" t="inlineStr">
        <is>
          <t>6</t>
        </is>
      </c>
      <c r="B5" t="inlineStr">
        <is>
          <t>Hospitality 2BR/1.5BA</t>
        </is>
      </c>
      <c r="C5" t="n">
        <v>10</v>
      </c>
      <c r="D5" s="12" t="n">
        <v>8680</v>
      </c>
      <c r="E5" s="13" t="n">
        <v>1200</v>
      </c>
      <c r="F5" s="3">
        <f>D5*E5</f>
        <v/>
      </c>
    </row>
    <row r="6">
      <c r="A6" t="inlineStr">
        <is>
          <t>7</t>
        </is>
      </c>
      <c r="B6" t="inlineStr">
        <is>
          <t>Condos 3BR/2BA</t>
        </is>
      </c>
      <c r="C6" t="n">
        <v>8</v>
      </c>
      <c r="D6" s="12" t="n">
        <v>8680</v>
      </c>
      <c r="E6" s="13" t="n">
        <v>1200</v>
      </c>
      <c r="F6" s="3">
        <f>D6*E6</f>
        <v/>
      </c>
    </row>
    <row r="7">
      <c r="A7" t="inlineStr">
        <is>
          <t>1</t>
        </is>
      </c>
      <c r="B7" t="inlineStr">
        <is>
          <t>Chabad/Mikvah (at cost)</t>
        </is>
      </c>
      <c r="C7" t="n">
        <v>1</v>
      </c>
      <c r="D7" s="12" t="n">
        <v>10500</v>
      </c>
      <c r="E7" s="13" t="n">
        <v>400</v>
      </c>
      <c r="F7" s="3">
        <f>D7*E7</f>
        <v/>
      </c>
    </row>
    <row r="9">
      <c r="B9" s="5" t="inlineStr">
        <is>
          <t>TOTAL REVENUE</t>
        </is>
      </c>
      <c r="C9" s="16">
        <f>SUM(C4:C7)</f>
        <v/>
      </c>
      <c r="F9" s="6">
        <f>SUM(F4:F7)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23" customWidth="1" min="3" max="3"/>
    <col width="42" customWidth="1" min="4" max="4"/>
    <col width="10" customWidth="1" min="5" max="5"/>
  </cols>
  <sheetData>
    <row r="1">
      <c r="A1" s="1" t="inlineStr">
        <is>
          <t>NEVO TOWER - PROJECT DEAL STRUCTURE</t>
        </is>
      </c>
    </row>
    <row r="2">
      <c r="A2" s="23" t="inlineStr">
        <is>
          <t>Complete Partnership Structure, Financing, and Payout Waterfall</t>
        </is>
      </c>
    </row>
    <row r="4">
      <c r="A4" s="11" t="inlineStr">
        <is>
          <t>THE PARTIES</t>
        </is>
      </c>
    </row>
    <row r="5">
      <c r="A5" s="16" t="inlineStr">
        <is>
          <t>Simcha Connection (SC)</t>
        </is>
      </c>
      <c r="B5" t="inlineStr">
        <is>
          <t>Land Owner - 1580 79th St, North Bay Village</t>
        </is>
      </c>
      <c r="D5" t="inlineStr">
        <is>
          <t>$10M land value</t>
        </is>
      </c>
    </row>
    <row r="6">
      <c r="A6" s="16" t="inlineStr">
        <is>
          <t>Developer Partner</t>
        </is>
      </c>
      <c r="B6" t="inlineStr">
        <is>
          <t>Development partner sought by SC</t>
        </is>
      </c>
      <c r="D6" t="inlineStr">
        <is>
          <t>Cash + expertise</t>
        </is>
      </c>
    </row>
    <row r="7">
      <c r="A7" s="16" t="inlineStr"/>
      <c r="B7" t="inlineStr">
        <is>
          <t>Partnership is 50/50 profit split AFTER obligations</t>
        </is>
      </c>
    </row>
    <row r="9">
      <c r="A9" s="11" t="inlineStr">
        <is>
          <t>SC CONTRIBUTIONS &amp; PAYMENTS</t>
        </is>
      </c>
    </row>
    <row r="10">
      <c r="A10" s="16" t="inlineStr">
        <is>
          <t>Item</t>
        </is>
      </c>
      <c r="B10" s="16" t="inlineStr">
        <is>
          <t>Amount</t>
        </is>
      </c>
      <c r="C10" s="16" t="inlineStr">
        <is>
          <t>Timing</t>
        </is>
      </c>
      <c r="D10" s="16" t="inlineStr">
        <is>
          <t>Type</t>
        </is>
      </c>
      <c r="E10" s="16" t="inlineStr">
        <is>
          <t>Interest?</t>
        </is>
      </c>
    </row>
    <row r="11">
      <c r="A11" t="inlineStr">
        <is>
          <t>Land (In-Kind)</t>
        </is>
      </c>
      <c r="B11" t="inlineStr">
        <is>
          <t>$8,000,000</t>
        </is>
      </c>
      <c r="C11" t="inlineStr">
        <is>
          <t>Upfront</t>
        </is>
      </c>
      <c r="D11" t="inlineStr">
        <is>
          <t>Equity contribution</t>
        </is>
      </c>
      <c r="E11" t="inlineStr">
        <is>
          <t>NO</t>
        </is>
      </c>
    </row>
    <row r="12">
      <c r="A12" t="inlineStr">
        <is>
          <t>Cash to SC from Dev</t>
        </is>
      </c>
      <c r="B12" t="inlineStr">
        <is>
          <t>$1,250,000</t>
        </is>
      </c>
      <c r="C12" t="inlineStr">
        <is>
          <t>Month 0 (key money)</t>
        </is>
      </c>
      <c r="D12" t="inlineStr">
        <is>
          <t>Cash OUT to SC</t>
        </is>
      </c>
      <c r="E12" t="inlineStr">
        <is>
          <t>N/A</t>
        </is>
      </c>
    </row>
    <row r="13">
      <c r="A13" t="inlineStr">
        <is>
          <t>Cash to SC from Dev</t>
        </is>
      </c>
      <c r="B13" t="inlineStr">
        <is>
          <t>$750,000</t>
        </is>
      </c>
      <c r="C13" t="inlineStr">
        <is>
          <t>Month 6</t>
        </is>
      </c>
      <c r="D13" t="inlineStr">
        <is>
          <t>Cash OUT to SC</t>
        </is>
      </c>
      <c r="E13" t="inlineStr">
        <is>
          <t>N/A</t>
        </is>
      </c>
    </row>
    <row r="14">
      <c r="A14" t="inlineStr">
        <is>
          <t>Land Payment AT EXIT</t>
        </is>
      </c>
      <c r="B14" t="inlineStr">
        <is>
          <t>$8,000,000</t>
        </is>
      </c>
      <c r="C14" t="inlineStr">
        <is>
          <t>After all vendors paid</t>
        </is>
      </c>
      <c r="D14" t="inlineStr">
        <is>
          <t>From windfall</t>
        </is>
      </c>
      <c r="E14" s="24" t="inlineStr">
        <is>
          <t>NO!</t>
        </is>
      </c>
    </row>
    <row r="16">
      <c r="A16" s="11" t="inlineStr">
        <is>
          <t>FINANCING STRUCTURE</t>
        </is>
      </c>
    </row>
    <row r="17">
      <c r="A17" s="16" t="inlineStr">
        <is>
          <t>Source</t>
        </is>
      </c>
      <c r="B17" s="16" t="inlineStr">
        <is>
          <t>Amount</t>
        </is>
      </c>
      <c r="C17" s="16" t="inlineStr">
        <is>
          <t>Duration</t>
        </is>
      </c>
      <c r="D17" s="16" t="inlineStr">
        <is>
          <t>Purpose</t>
        </is>
      </c>
      <c r="E17" s="16" t="inlineStr">
        <is>
          <t>Cost</t>
        </is>
      </c>
    </row>
    <row r="18">
      <c r="A18" t="inlineStr">
        <is>
          <t>Developer Cash OUT to SC</t>
        </is>
      </c>
      <c r="B18" t="inlineStr">
        <is>
          <t>$2,000,000</t>
        </is>
      </c>
      <c r="C18" t="inlineStr">
        <is>
          <t>Upfront</t>
        </is>
      </c>
      <c r="D18" t="inlineStr">
        <is>
          <t>SC receives cash payments</t>
        </is>
      </c>
      <c r="E18" s="25" t="inlineStr">
        <is>
          <t>$0</t>
        </is>
      </c>
    </row>
    <row r="19">
      <c r="A19" t="inlineStr">
        <is>
          <t>Bridge Loan</t>
        </is>
      </c>
      <c r="B19" t="inlineStr">
        <is>
          <t>~$6,600,000</t>
        </is>
      </c>
      <c r="C19" t="inlineStr">
        <is>
          <t>9 months</t>
        </is>
      </c>
      <c r="D19" t="inlineStr">
        <is>
          <t>Construction subtotal only</t>
        </is>
      </c>
      <c r="E19" t="inlineStr">
        <is>
          <t>~$420K</t>
        </is>
      </c>
    </row>
    <row r="20">
      <c r="A20" t="inlineStr">
        <is>
          <t>Pre-Sales Deposits</t>
        </is>
      </c>
      <c r="B20" t="inlineStr">
        <is>
          <t>~$14,700,000</t>
        </is>
      </c>
      <c r="C20" t="inlineStr">
        <is>
          <t>Months 1-24</t>
        </is>
      </c>
      <c r="D20" t="inlineStr">
        <is>
          <t>Remaining construction</t>
        </is>
      </c>
      <c r="E20" s="25" t="inlineStr">
        <is>
          <t>$0</t>
        </is>
      </c>
    </row>
    <row r="21">
      <c r="A21" t="inlineStr">
        <is>
          <t>Vendor Terms</t>
        </is>
      </c>
      <c r="B21" t="inlineStr">
        <is>
          <t>Variable</t>
        </is>
      </c>
      <c r="C21" t="inlineStr">
        <is>
          <t>Ongoing</t>
        </is>
      </c>
      <c r="D21" t="inlineStr">
        <is>
          <t>GC/OH&amp;P/Contingencies</t>
        </is>
      </c>
      <c r="E21" s="25" t="inlineStr">
        <is>
          <t>$0</t>
        </is>
      </c>
    </row>
    <row r="22">
      <c r="A22" t="inlineStr">
        <is>
          <t>In-Kind Suppliers</t>
        </is>
      </c>
      <c r="B22" t="inlineStr">
        <is>
          <t>Variable</t>
        </is>
      </c>
      <c r="C22" t="inlineStr">
        <is>
          <t>Ongoing</t>
        </is>
      </c>
      <c r="D22" t="inlineStr">
        <is>
          <t>Materials at cost</t>
        </is>
      </c>
      <c r="E22" s="25" t="inlineStr">
        <is>
          <t>$0</t>
        </is>
      </c>
    </row>
    <row r="24">
      <c r="A24" s="26" t="inlineStr">
        <is>
          <t>KEY POINT:</t>
        </is>
      </c>
      <c r="B24" t="inlineStr">
        <is>
          <t>Pre-sales from Month 10+ cover ALL remaining construction costs</t>
        </is>
      </c>
    </row>
    <row r="26">
      <c r="A26" s="11" t="inlineStr">
        <is>
          <t>PAYMENT WATERFALL (AT PROJECT EXIT)</t>
        </is>
      </c>
    </row>
    <row r="27">
      <c r="A27" s="16" t="inlineStr">
        <is>
          <t>Priority</t>
        </is>
      </c>
      <c r="B27" s="16" t="inlineStr">
        <is>
          <t>Payee</t>
        </is>
      </c>
      <c r="C27" s="16" t="inlineStr">
        <is>
          <t>Amount</t>
        </is>
      </c>
      <c r="D27" s="16" t="inlineStr">
        <is>
          <t>Description</t>
        </is>
      </c>
    </row>
    <row r="28">
      <c r="A28" s="25" t="inlineStr">
        <is>
          <t>0</t>
        </is>
      </c>
      <c r="B28" t="inlineStr">
        <is>
          <t>Total Revenue</t>
        </is>
      </c>
      <c r="C28" t="inlineStr">
        <is>
          <t>$55,272,000</t>
        </is>
      </c>
      <c r="D28" t="inlineStr">
        <is>
          <t>Gross sales revenue from 50 units</t>
        </is>
      </c>
    </row>
    <row r="29">
      <c r="A29" t="inlineStr">
        <is>
          <t>1</t>
        </is>
      </c>
      <c r="B29" t="inlineStr">
        <is>
          <t>Bridge Loan Payoff</t>
        </is>
      </c>
      <c r="C29" t="inlineStr">
        <is>
          <t>~$420,000</t>
        </is>
      </c>
      <c r="D29" t="inlineStr">
        <is>
          <t>Principal + interest (if balance remains)</t>
        </is>
      </c>
    </row>
    <row r="30">
      <c r="A30" t="inlineStr">
        <is>
          <t>2</t>
        </is>
      </c>
      <c r="B30" t="inlineStr">
        <is>
          <t>Vendors/Contractors</t>
        </is>
      </c>
      <c r="C30" t="inlineStr">
        <is>
          <t>~$32,609,001</t>
        </is>
      </c>
      <c r="D30" t="inlineStr">
        <is>
          <t>All construction costs paid</t>
        </is>
      </c>
    </row>
    <row r="31">
      <c r="A31" t="inlineStr">
        <is>
          <t>3</t>
        </is>
      </c>
      <c r="B31" t="inlineStr">
        <is>
          <t>Soft Costs</t>
        </is>
      </c>
      <c r="C31" t="inlineStr">
        <is>
          <t>~$4,600,000</t>
        </is>
      </c>
      <c r="D31" t="inlineStr">
        <is>
          <t>A&amp;E, marketing, permits, etc.</t>
        </is>
      </c>
    </row>
    <row r="32">
      <c r="A32" s="27" t="inlineStr">
        <is>
          <t>4</t>
        </is>
      </c>
      <c r="B32" t="inlineStr">
        <is>
          <t>SC Land Payment</t>
        </is>
      </c>
      <c r="C32" t="inlineStr">
        <is>
          <t>$8,000,000</t>
        </is>
      </c>
      <c r="D32" t="inlineStr">
        <is>
          <t>NO INTEREST! Paid from windfall</t>
        </is>
      </c>
    </row>
    <row r="33">
      <c r="A33" s="27" t="inlineStr">
        <is>
          <t>5</t>
        </is>
      </c>
      <c r="B33" t="inlineStr">
        <is>
          <t>Remaining Windfall</t>
        </is>
      </c>
      <c r="C33" t="inlineStr">
        <is>
          <t>~$9,643,000</t>
        </is>
      </c>
      <c r="D33" t="inlineStr">
        <is>
          <t>Available for profit split</t>
        </is>
      </c>
    </row>
    <row r="34">
      <c r="A34" s="28" t="inlineStr">
        <is>
          <t>6</t>
        </is>
      </c>
      <c r="B34" t="inlineStr">
        <is>
          <t>SC Share (50%)</t>
        </is>
      </c>
      <c r="C34" t="inlineStr">
        <is>
          <t>~$4,821,500</t>
        </is>
      </c>
      <c r="D34" t="inlineStr">
        <is>
          <t>50% of windfall after all obligations</t>
        </is>
      </c>
    </row>
    <row r="35">
      <c r="A35" s="28" t="inlineStr">
        <is>
          <t>7</t>
        </is>
      </c>
      <c r="B35" t="inlineStr">
        <is>
          <t>Developer Share (50%)</t>
        </is>
      </c>
      <c r="C35" t="inlineStr">
        <is>
          <t>~$4,821,500</t>
        </is>
      </c>
      <c r="D35" t="inlineStr">
        <is>
          <t>50% of windfall after all obligations</t>
        </is>
      </c>
    </row>
    <row r="37">
      <c r="A37" s="11" t="inlineStr">
        <is>
          <t>DEVELOPER ECONOMICS</t>
        </is>
      </c>
    </row>
    <row r="38">
      <c r="A38" t="inlineStr">
        <is>
          <t>Cash OUT (Investment to SC)</t>
        </is>
      </c>
      <c r="B38" s="3" t="inlineStr">
        <is>
          <t>$2,000,000</t>
        </is>
      </c>
      <c r="D38" t="inlineStr">
        <is>
          <t>Paid to SC upfront</t>
        </is>
      </c>
    </row>
    <row r="39">
      <c r="A39" t="inlineStr">
        <is>
          <t>Cash IN (Return)</t>
        </is>
      </c>
      <c r="B39" s="3" t="inlineStr">
        <is>
          <t>~$4,821,500</t>
        </is>
      </c>
      <c r="D39" t="inlineStr">
        <is>
          <t>50% of windfall</t>
        </is>
      </c>
    </row>
    <row r="40">
      <c r="A40" s="16" t="inlineStr">
        <is>
          <t>Net Profit</t>
        </is>
      </c>
      <c r="B40" s="7" t="inlineStr">
        <is>
          <t>~$2,821,500</t>
        </is>
      </c>
      <c r="D40" t="inlineStr">
        <is>
          <t>$4.82M - $2M investment</t>
        </is>
      </c>
    </row>
    <row r="41">
      <c r="A41" s="5" t="inlineStr">
        <is>
          <t>ROI</t>
        </is>
      </c>
      <c r="B41" s="29" t="inlineStr">
        <is>
          <t>141%</t>
        </is>
      </c>
      <c r="D41" t="inlineStr">
        <is>
          <t>$2.82M profit / $2M investment</t>
        </is>
      </c>
    </row>
    <row r="43">
      <c r="A43" s="11" t="inlineStr">
        <is>
          <t>KEY DEAL BENEFITS</t>
        </is>
      </c>
    </row>
    <row r="44">
      <c r="A44" s="16" t="inlineStr">
        <is>
          <t>✓ NO INTEREST on $8M SC land payment</t>
        </is>
      </c>
      <c r="B44" t="inlineStr">
        <is>
          <t>Massive savings vs traditional land purchase</t>
        </is>
      </c>
    </row>
    <row r="45">
      <c r="A45" s="16" t="inlineStr">
        <is>
          <t>✓ Bridge loan only 9 months</t>
        </is>
      </c>
      <c r="B45" t="inlineStr">
        <is>
          <t>Pre-sales cover construction from Month 10+</t>
        </is>
      </c>
    </row>
    <row r="46">
      <c r="A46" s="16" t="inlineStr">
        <is>
          <t>✓ Vendor payment terms</t>
        </is>
      </c>
      <c r="B46" t="inlineStr">
        <is>
          <t>GC/OH&amp;P/contingencies funded by terms, not loan</t>
        </is>
      </c>
    </row>
    <row r="47">
      <c r="A47" s="16" t="inlineStr">
        <is>
          <t>✓ In-kind supplier opportunities</t>
        </is>
      </c>
      <c r="B47" t="inlineStr">
        <is>
          <t>Reduce cash needed with material contributions</t>
        </is>
      </c>
    </row>
    <row r="48">
      <c r="A48" s="16" t="inlineStr">
        <is>
          <t>✓ 141% ROI on $2M investment</t>
        </is>
      </c>
      <c r="B48" t="inlineStr">
        <is>
          <t>Developer gets $4.82M from $2M investment</t>
        </is>
      </c>
    </row>
    <row r="49">
      <c r="A49" s="16" t="inlineStr">
        <is>
          <t>✓ Pre-sales de-risk project</t>
        </is>
      </c>
      <c r="B49" t="inlineStr">
        <is>
          <t>Units sold before completion = guaranteed revenue</t>
        </is>
      </c>
    </row>
  </sheetData>
  <mergeCells count="15">
    <mergeCell ref="B45:E45"/>
    <mergeCell ref="A4:E4"/>
    <mergeCell ref="A26:E26"/>
    <mergeCell ref="A43:E43"/>
    <mergeCell ref="A2:E2"/>
    <mergeCell ref="A16:E16"/>
    <mergeCell ref="B49:E49"/>
    <mergeCell ref="B44:E44"/>
    <mergeCell ref="B48:E48"/>
    <mergeCell ref="A1:E1"/>
    <mergeCell ref="A37:E37"/>
    <mergeCell ref="B24:E24"/>
    <mergeCell ref="B47:E47"/>
    <mergeCell ref="B46:E46"/>
    <mergeCell ref="A9:E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  <col width="22" customWidth="1" min="3" max="3"/>
    <col width="25" customWidth="1" min="4" max="4"/>
    <col width="14" customWidth="1" min="5" max="5"/>
    <col width="60" customWidth="1" min="6" max="6"/>
    <col width="28" customWidth="1" min="7" max="7"/>
    <col width="14" customWidth="1" min="8" max="8"/>
    <col width="14" customWidth="1" min="9" max="9"/>
    <col width="18" customWidth="1" min="10" max="10"/>
    <col width="18" customWidth="1" min="11" max="11"/>
    <col width="21" customWidth="1" min="12" max="12"/>
  </cols>
  <sheetData>
    <row r="1">
      <c r="A1" s="10" t="inlineStr">
        <is>
          <t>NEVO TOWER - 24-MONTH CASH FLOW WITH PRE-SALES</t>
        </is>
      </c>
    </row>
    <row r="2">
      <c r="A2" t="inlineStr">
        <is>
          <t>Construction Costs vs Pre-Sales Revenue - Bridge Loan Calculation</t>
        </is>
      </c>
    </row>
    <row r="4">
      <c r="A4" s="17" t="inlineStr">
        <is>
          <t>Month</t>
        </is>
      </c>
      <c r="B4" s="17" t="inlineStr">
        <is>
          <t>Activity</t>
        </is>
      </c>
      <c r="C4" s="17" t="inlineStr">
        <is>
          <t>Hard Cost Draw</t>
        </is>
      </c>
      <c r="D4" s="17" t="inlineStr">
        <is>
          <t>SC Cash OUT</t>
        </is>
      </c>
      <c r="E4" s="17" t="inlineStr">
        <is>
          <t>Units Sold</t>
        </is>
      </c>
      <c r="F4" s="17" t="inlineStr">
        <is>
          <t>Pre-Sales $</t>
        </is>
      </c>
      <c r="G4" s="17" t="inlineStr">
        <is>
          <t>Usable (90%)</t>
        </is>
      </c>
      <c r="H4" s="17" t="inlineStr">
        <is>
          <t>Total Cash IN</t>
        </is>
      </c>
      <c r="I4" s="17" t="inlineStr">
        <is>
          <t>Net Cash Flow</t>
        </is>
      </c>
      <c r="J4" s="17" t="inlineStr">
        <is>
          <t>Cumulative Bridge</t>
        </is>
      </c>
      <c r="K4" s="17" t="inlineStr">
        <is>
          <t>Bridge Balance</t>
        </is>
      </c>
      <c r="L4" s="17" t="inlineStr">
        <is>
          <t>Interest (9%/yr)</t>
        </is>
      </c>
    </row>
    <row r="5">
      <c r="A5" t="n">
        <v>1</v>
      </c>
      <c r="B5" t="inlineStr">
        <is>
          <t>Foundation</t>
        </is>
      </c>
      <c r="C5" s="3">
        <f>TotalHardCosts*0.03</f>
        <v/>
      </c>
      <c r="D5" s="3">
        <f>-LandPartner_Cash1</f>
        <v/>
      </c>
      <c r="E5" t="n">
        <v>1</v>
      </c>
      <c r="F5" s="3">
        <f>E5*(TotalRevenue/50)*0.25</f>
        <v/>
      </c>
      <c r="G5" s="3">
        <f>F5*0.90</f>
        <v/>
      </c>
      <c r="H5" s="3">
        <f>D5+G5</f>
        <v/>
      </c>
      <c r="I5" s="3">
        <f>H5-C5</f>
        <v/>
      </c>
      <c r="J5" s="3">
        <f>I5</f>
        <v/>
      </c>
      <c r="K5" s="30">
        <f>IF(J5&lt;0,-J5,0)</f>
        <v/>
      </c>
      <c r="L5" s="3">
        <f>K5*Finance_Rate/12</f>
        <v/>
      </c>
    </row>
    <row r="6">
      <c r="A6" t="n">
        <v>2</v>
      </c>
      <c r="B6" t="inlineStr">
        <is>
          <t>Foundation</t>
        </is>
      </c>
      <c r="C6" s="3">
        <f>TotalHardCosts*0.04</f>
        <v/>
      </c>
      <c r="D6" s="3" t="n">
        <v>0</v>
      </c>
      <c r="E6" t="n">
        <v>2</v>
      </c>
      <c r="F6" s="3">
        <f>E6*(TotalRevenue/50)*0.25</f>
        <v/>
      </c>
      <c r="G6" s="3">
        <f>F6*0.90</f>
        <v/>
      </c>
      <c r="H6" s="3">
        <f>D6+G6</f>
        <v/>
      </c>
      <c r="I6" s="3">
        <f>H6-C6</f>
        <v/>
      </c>
      <c r="J6" s="3">
        <f>J5+I6</f>
        <v/>
      </c>
      <c r="K6" s="30">
        <f>IF(J6&lt;0,-J6,0)</f>
        <v/>
      </c>
      <c r="L6" s="3">
        <f>K6*Finance_Rate/12</f>
        <v/>
      </c>
    </row>
    <row r="7">
      <c r="A7" t="n">
        <v>3</v>
      </c>
      <c r="B7" t="inlineStr">
        <is>
          <t>Site Work</t>
        </is>
      </c>
      <c r="C7" s="3">
        <f>TotalHardCosts*0.05</f>
        <v/>
      </c>
      <c r="D7" s="3" t="n">
        <v>0</v>
      </c>
      <c r="E7" t="n">
        <v>2</v>
      </c>
      <c r="F7" s="3">
        <f>E7*(TotalRevenue/50)*0.25</f>
        <v/>
      </c>
      <c r="G7" s="3">
        <f>F7*0.90</f>
        <v/>
      </c>
      <c r="H7" s="3">
        <f>D7+G7</f>
        <v/>
      </c>
      <c r="I7" s="3">
        <f>H7-C7</f>
        <v/>
      </c>
      <c r="J7" s="3">
        <f>J6+I7</f>
        <v/>
      </c>
      <c r="K7" s="30">
        <f>IF(J7&lt;0,-J7,0)</f>
        <v/>
      </c>
      <c r="L7" s="3">
        <f>K7*Finance_Rate/12</f>
        <v/>
      </c>
    </row>
    <row r="8">
      <c r="A8" t="n">
        <v>4</v>
      </c>
      <c r="B8" t="inlineStr">
        <is>
          <t>Site Work</t>
        </is>
      </c>
      <c r="C8" s="3">
        <f>TotalHardCosts*0.06</f>
        <v/>
      </c>
      <c r="D8" s="3" t="n">
        <v>0</v>
      </c>
      <c r="E8" t="n">
        <v>3</v>
      </c>
      <c r="F8" s="3">
        <f>E8*(TotalRevenue/50)*0.25</f>
        <v/>
      </c>
      <c r="G8" s="3">
        <f>F8*0.90</f>
        <v/>
      </c>
      <c r="H8" s="3">
        <f>D8+G8</f>
        <v/>
      </c>
      <c r="I8" s="3">
        <f>H8-C8</f>
        <v/>
      </c>
      <c r="J8" s="3">
        <f>J7+I8</f>
        <v/>
      </c>
      <c r="K8" s="30">
        <f>IF(J8&lt;0,-J8,0)</f>
        <v/>
      </c>
      <c r="L8" s="3">
        <f>K8*Finance_Rate/12</f>
        <v/>
      </c>
    </row>
    <row r="9">
      <c r="A9" t="n">
        <v>5</v>
      </c>
      <c r="B9" t="inlineStr">
        <is>
          <t>Superstructure</t>
        </is>
      </c>
      <c r="C9" s="3">
        <f>TotalHardCosts*0.07</f>
        <v/>
      </c>
      <c r="D9" s="3" t="n">
        <v>0</v>
      </c>
      <c r="E9" t="n">
        <v>3</v>
      </c>
      <c r="F9" s="3">
        <f>(E9*(TotalRevenue/50)*0.50)+(SUM($E$5:$E$8)*(TotalRevenue/50)*0.25)</f>
        <v/>
      </c>
      <c r="G9" s="3">
        <f>F9*0.90</f>
        <v/>
      </c>
      <c r="H9" s="3">
        <f>D9+G9</f>
        <v/>
      </c>
      <c r="I9" s="3">
        <f>H9-C9</f>
        <v/>
      </c>
      <c r="J9" s="3">
        <f>J8+I9</f>
        <v/>
      </c>
      <c r="K9" s="30">
        <f>IF(J9&lt;0,-J9,0)</f>
        <v/>
      </c>
      <c r="L9" s="3">
        <f>K9*Finance_Rate/12</f>
        <v/>
      </c>
    </row>
    <row r="10">
      <c r="A10" t="n">
        <v>6</v>
      </c>
      <c r="B10" t="inlineStr">
        <is>
          <t>Superstructure</t>
        </is>
      </c>
      <c r="C10" s="3">
        <f>TotalHardCosts*0.08</f>
        <v/>
      </c>
      <c r="D10" s="3">
        <f>-LandPartner_Cash2</f>
        <v/>
      </c>
      <c r="E10" t="n">
        <v>3</v>
      </c>
      <c r="F10" s="3">
        <f>E10*(TotalRevenue/50)*0.50</f>
        <v/>
      </c>
      <c r="G10" s="3">
        <f>F10*0.90</f>
        <v/>
      </c>
      <c r="H10" s="3">
        <f>D10+G10</f>
        <v/>
      </c>
      <c r="I10" s="3">
        <f>H10-C10</f>
        <v/>
      </c>
      <c r="J10" s="3">
        <f>J9+I10</f>
        <v/>
      </c>
      <c r="K10" s="30">
        <f>IF(J10&lt;0,-J10,0)</f>
        <v/>
      </c>
      <c r="L10" s="3">
        <f>K10*Finance_Rate/12</f>
        <v/>
      </c>
    </row>
    <row r="11">
      <c r="A11" t="n">
        <v>7</v>
      </c>
      <c r="B11" t="inlineStr">
        <is>
          <t>Superstructure</t>
        </is>
      </c>
      <c r="C11" s="3">
        <f>TotalHardCosts*0.08</f>
        <v/>
      </c>
      <c r="D11" s="3" t="n">
        <v>0</v>
      </c>
      <c r="E11" t="n">
        <v>4</v>
      </c>
      <c r="F11" s="3">
        <f>E11*(TotalRevenue/50)*0.50</f>
        <v/>
      </c>
      <c r="G11" s="3">
        <f>F11*0.90</f>
        <v/>
      </c>
      <c r="H11" s="3">
        <f>D11+G11</f>
        <v/>
      </c>
      <c r="I11" s="3">
        <f>H11-C11</f>
        <v/>
      </c>
      <c r="J11" s="3">
        <f>J10+I11</f>
        <v/>
      </c>
      <c r="K11" s="30">
        <f>IF(J11&lt;0,-J11,0)</f>
        <v/>
      </c>
      <c r="L11" s="3">
        <f>K11*Finance_Rate/12</f>
        <v/>
      </c>
    </row>
    <row r="12">
      <c r="A12" t="n">
        <v>8</v>
      </c>
      <c r="B12" t="inlineStr">
        <is>
          <t>Superstructure</t>
        </is>
      </c>
      <c r="C12" s="3">
        <f>TotalHardCosts*0.07</f>
        <v/>
      </c>
      <c r="D12" s="3" t="n">
        <v>0</v>
      </c>
      <c r="E12" t="n">
        <v>4</v>
      </c>
      <c r="F12" s="3">
        <f>E12*(TotalRevenue/50)*0.50</f>
        <v/>
      </c>
      <c r="G12" s="3">
        <f>F12*0.90</f>
        <v/>
      </c>
      <c r="H12" s="3">
        <f>D12+G12</f>
        <v/>
      </c>
      <c r="I12" s="3">
        <f>H12-C12</f>
        <v/>
      </c>
      <c r="J12" s="3">
        <f>J11+I12</f>
        <v/>
      </c>
      <c r="K12" s="30">
        <f>IF(J12&lt;0,-J12,0)</f>
        <v/>
      </c>
      <c r="L12" s="3">
        <f>K12*Finance_Rate/12</f>
        <v/>
      </c>
    </row>
    <row r="13">
      <c r="A13" t="n">
        <v>9</v>
      </c>
      <c r="B13" t="inlineStr">
        <is>
          <t>Envelope</t>
        </is>
      </c>
      <c r="C13" s="3">
        <f>TotalHardCosts*0.07</f>
        <v/>
      </c>
      <c r="D13" s="3" t="n">
        <v>0</v>
      </c>
      <c r="E13" t="n">
        <v>4</v>
      </c>
      <c r="F13" s="3">
        <f>(E13*(TotalRevenue/50)*0.75)+(SUM($E$5:$E$12)*(TotalRevenue/50)*0.25)</f>
        <v/>
      </c>
      <c r="G13" s="3">
        <f>F13*0.90</f>
        <v/>
      </c>
      <c r="H13" s="3">
        <f>D13+G13</f>
        <v/>
      </c>
      <c r="I13" s="3">
        <f>H13-C13</f>
        <v/>
      </c>
      <c r="J13" s="3">
        <f>J12+I13</f>
        <v/>
      </c>
      <c r="K13" s="30">
        <f>IF(J13&lt;0,-J13,0)</f>
        <v/>
      </c>
      <c r="L13" s="3">
        <f>K13*Finance_Rate/12</f>
        <v/>
      </c>
    </row>
    <row r="14">
      <c r="A14" t="n">
        <v>10</v>
      </c>
      <c r="B14" t="inlineStr">
        <is>
          <t>Envelope</t>
        </is>
      </c>
      <c r="C14" s="3">
        <f>TotalHardCosts*0.07</f>
        <v/>
      </c>
      <c r="D14" s="3" t="n">
        <v>0</v>
      </c>
      <c r="E14" t="n">
        <v>4</v>
      </c>
      <c r="F14" s="3">
        <f>E14*(TotalRevenue/50)*0.75</f>
        <v/>
      </c>
      <c r="G14" s="3">
        <f>F14*0.90</f>
        <v/>
      </c>
      <c r="H14" s="3">
        <f>D14+G14</f>
        <v/>
      </c>
      <c r="I14" s="3">
        <f>H14-C14</f>
        <v/>
      </c>
      <c r="J14" s="3">
        <f>J13+I14</f>
        <v/>
      </c>
      <c r="K14" s="30">
        <f>IF(J14&lt;0,-J14,0)</f>
        <v/>
      </c>
      <c r="L14" s="3">
        <f>K14*Finance_Rate/12</f>
        <v/>
      </c>
    </row>
    <row r="15">
      <c r="A15" t="n">
        <v>11</v>
      </c>
      <c r="B15" t="inlineStr">
        <is>
          <t>MEP Rough-In</t>
        </is>
      </c>
      <c r="C15" s="3">
        <f>TotalHardCosts*0.06</f>
        <v/>
      </c>
      <c r="D15" s="3" t="n">
        <v>0</v>
      </c>
      <c r="E15" t="n">
        <v>3</v>
      </c>
      <c r="F15" s="3">
        <f>E15*(TotalRevenue/50)*0.75</f>
        <v/>
      </c>
      <c r="G15" s="3">
        <f>F15*0.90</f>
        <v/>
      </c>
      <c r="H15" s="3">
        <f>D15+G15</f>
        <v/>
      </c>
      <c r="I15" s="3">
        <f>H15-C15</f>
        <v/>
      </c>
      <c r="J15" s="3">
        <f>J14+I15</f>
        <v/>
      </c>
      <c r="K15" s="30">
        <f>IF(J15&lt;0,-J15,0)</f>
        <v/>
      </c>
      <c r="L15" s="3">
        <f>K15*Finance_Rate/12</f>
        <v/>
      </c>
    </row>
    <row r="16">
      <c r="A16" t="n">
        <v>12</v>
      </c>
      <c r="B16" t="inlineStr">
        <is>
          <t>MEP Rough-In</t>
        </is>
      </c>
      <c r="C16" s="3">
        <f>TotalHardCosts*0.06</f>
        <v/>
      </c>
      <c r="D16" s="3" t="n">
        <v>0</v>
      </c>
      <c r="E16" t="n">
        <v>3</v>
      </c>
      <c r="F16" s="3">
        <f>E16*(TotalRevenue/50)*0.75</f>
        <v/>
      </c>
      <c r="G16" s="3">
        <f>F16*0.90</f>
        <v/>
      </c>
      <c r="H16" s="3">
        <f>D16+G16</f>
        <v/>
      </c>
      <c r="I16" s="3">
        <f>H16-C16</f>
        <v/>
      </c>
      <c r="J16" s="3">
        <f>J15+I16</f>
        <v/>
      </c>
      <c r="K16" s="30">
        <f>IF(J16&lt;0,-J16,0)</f>
        <v/>
      </c>
      <c r="L16" s="3">
        <f>K16*Finance_Rate/12</f>
        <v/>
      </c>
    </row>
    <row r="17">
      <c r="A17" t="n">
        <v>13</v>
      </c>
      <c r="B17" t="inlineStr">
        <is>
          <t>MEP Install</t>
        </is>
      </c>
      <c r="C17" s="3">
        <f>TotalHardCosts*0.05</f>
        <v/>
      </c>
      <c r="D17" s="3" t="n">
        <v>0</v>
      </c>
      <c r="E17" t="n">
        <v>2</v>
      </c>
      <c r="F17" s="3">
        <f>E17*(TotalRevenue/50)*0.75</f>
        <v/>
      </c>
      <c r="G17" s="3">
        <f>F17*0.90</f>
        <v/>
      </c>
      <c r="H17" s="3">
        <f>D17+G17</f>
        <v/>
      </c>
      <c r="I17" s="3">
        <f>H17-C17</f>
        <v/>
      </c>
      <c r="J17" s="3">
        <f>J16+I17</f>
        <v/>
      </c>
      <c r="K17" s="30">
        <f>IF(J17&lt;0,-J17,0)</f>
        <v/>
      </c>
      <c r="L17" s="3">
        <f>K17*Finance_Rate/12</f>
        <v/>
      </c>
    </row>
    <row r="18">
      <c r="A18" t="n">
        <v>14</v>
      </c>
      <c r="B18" t="inlineStr">
        <is>
          <t>MEP Install</t>
        </is>
      </c>
      <c r="C18" s="3">
        <f>TotalHardCosts*0.05</f>
        <v/>
      </c>
      <c r="D18" s="3" t="n">
        <v>0</v>
      </c>
      <c r="E18" t="n">
        <v>2</v>
      </c>
      <c r="F18" s="3">
        <f>E18*(TotalRevenue/50)*0.75</f>
        <v/>
      </c>
      <c r="G18" s="3">
        <f>F18*0.90</f>
        <v/>
      </c>
      <c r="H18" s="3">
        <f>D18+G18</f>
        <v/>
      </c>
      <c r="I18" s="3">
        <f>H18-C18</f>
        <v/>
      </c>
      <c r="J18" s="3">
        <f>J17+I18</f>
        <v/>
      </c>
      <c r="K18" s="30">
        <f>IF(J18&lt;0,-J18,0)</f>
        <v/>
      </c>
      <c r="L18" s="3">
        <f>K18*Finance_Rate/12</f>
        <v/>
      </c>
    </row>
    <row r="19">
      <c r="A19" t="n">
        <v>15</v>
      </c>
      <c r="B19" t="inlineStr">
        <is>
          <t>Interior Framing</t>
        </is>
      </c>
      <c r="C19" s="3">
        <f>TotalHardCosts*0.04</f>
        <v/>
      </c>
      <c r="D19" s="3" t="n">
        <v>0</v>
      </c>
      <c r="E19" t="n">
        <v>2</v>
      </c>
      <c r="F19" s="3">
        <f>E19*(TotalRevenue/50)*0.75</f>
        <v/>
      </c>
      <c r="G19" s="3">
        <f>F19*0.90</f>
        <v/>
      </c>
      <c r="H19" s="3">
        <f>D19+G19</f>
        <v/>
      </c>
      <c r="I19" s="3">
        <f>H19-C19</f>
        <v/>
      </c>
      <c r="J19" s="3">
        <f>J18+I19</f>
        <v/>
      </c>
      <c r="K19" s="30">
        <f>IF(J19&lt;0,-J19,0)</f>
        <v/>
      </c>
      <c r="L19" s="3">
        <f>K19*Finance_Rate/12</f>
        <v/>
      </c>
    </row>
    <row r="20">
      <c r="A20" t="n">
        <v>16</v>
      </c>
      <c r="B20" t="inlineStr">
        <is>
          <t>Interior Framing</t>
        </is>
      </c>
      <c r="C20" s="3">
        <f>TotalHardCosts*0.04</f>
        <v/>
      </c>
      <c r="D20" s="3" t="n">
        <v>0</v>
      </c>
      <c r="E20" t="n">
        <v>2</v>
      </c>
      <c r="F20" s="3">
        <f>E20*(TotalRevenue/50)*0.75</f>
        <v/>
      </c>
      <c r="G20" s="3">
        <f>F20*0.90</f>
        <v/>
      </c>
      <c r="H20" s="3">
        <f>D20+G20</f>
        <v/>
      </c>
      <c r="I20" s="3">
        <f>H20-C20</f>
        <v/>
      </c>
      <c r="J20" s="3">
        <f>J19+I20</f>
        <v/>
      </c>
      <c r="K20" s="30">
        <f>IF(J20&lt;0,-J20,0)</f>
        <v/>
      </c>
      <c r="L20" s="3">
        <f>K20*Finance_Rate/12</f>
        <v/>
      </c>
    </row>
    <row r="21">
      <c r="A21" t="n">
        <v>17</v>
      </c>
      <c r="B21" t="inlineStr">
        <is>
          <t>Finishes</t>
        </is>
      </c>
      <c r="C21" s="3">
        <f>TotalHardCosts*0.03</f>
        <v/>
      </c>
      <c r="D21" s="3" t="n">
        <v>0</v>
      </c>
      <c r="E21" t="n">
        <v>1</v>
      </c>
      <c r="F21" s="3">
        <f>E21*(TotalRevenue/50)*0.75</f>
        <v/>
      </c>
      <c r="G21" s="3">
        <f>F21*0.90</f>
        <v/>
      </c>
      <c r="H21" s="3">
        <f>D21+G21</f>
        <v/>
      </c>
      <c r="I21" s="3">
        <f>H21-C21</f>
        <v/>
      </c>
      <c r="J21" s="3">
        <f>J20+I21</f>
        <v/>
      </c>
      <c r="K21" s="30">
        <f>IF(J21&lt;0,-J21,0)</f>
        <v/>
      </c>
      <c r="L21" s="3">
        <f>K21*Finance_Rate/12</f>
        <v/>
      </c>
    </row>
    <row r="22">
      <c r="A22" t="n">
        <v>18</v>
      </c>
      <c r="B22" t="inlineStr">
        <is>
          <t>Finishes</t>
        </is>
      </c>
      <c r="C22" s="3">
        <f>TotalHardCosts*0.03</f>
        <v/>
      </c>
      <c r="D22" s="3" t="n">
        <v>0</v>
      </c>
      <c r="E22" t="n">
        <v>1</v>
      </c>
      <c r="F22" s="3">
        <f>E22*(TotalRevenue/50)*0.75</f>
        <v/>
      </c>
      <c r="G22" s="3">
        <f>F22*0.90</f>
        <v/>
      </c>
      <c r="H22" s="3">
        <f>D22+G22</f>
        <v/>
      </c>
      <c r="I22" s="3">
        <f>H22-C22</f>
        <v/>
      </c>
      <c r="J22" s="3">
        <f>J21+I22</f>
        <v/>
      </c>
      <c r="K22" s="30">
        <f>IF(J22&lt;0,-J22,0)</f>
        <v/>
      </c>
      <c r="L22" s="3">
        <f>K22*Finance_Rate/12</f>
        <v/>
      </c>
    </row>
    <row r="23">
      <c r="A23" t="n">
        <v>19</v>
      </c>
      <c r="B23" t="inlineStr">
        <is>
          <t>Fixtures</t>
        </is>
      </c>
      <c r="C23" s="3">
        <f>TotalHardCosts*0.02</f>
        <v/>
      </c>
      <c r="D23" s="3" t="n">
        <v>0</v>
      </c>
      <c r="E23" t="n">
        <v>1</v>
      </c>
      <c r="F23" s="3">
        <f>E23*(TotalRevenue/50)*0.75</f>
        <v/>
      </c>
      <c r="G23" s="3">
        <f>F23*0.90</f>
        <v/>
      </c>
      <c r="H23" s="3">
        <f>D23+G23</f>
        <v/>
      </c>
      <c r="I23" s="3">
        <f>H23-C23</f>
        <v/>
      </c>
      <c r="J23" s="3">
        <f>J22+I23</f>
        <v/>
      </c>
      <c r="K23" s="30">
        <f>IF(J23&lt;0,-J23,0)</f>
        <v/>
      </c>
      <c r="L23" s="3">
        <f>K23*Finance_Rate/12</f>
        <v/>
      </c>
    </row>
    <row r="24">
      <c r="A24" t="n">
        <v>20</v>
      </c>
      <c r="B24" t="inlineStr">
        <is>
          <t>Fixtures</t>
        </is>
      </c>
      <c r="C24" s="3">
        <f>TotalHardCosts*0.02</f>
        <v/>
      </c>
      <c r="D24" s="3" t="n">
        <v>0</v>
      </c>
      <c r="E24" t="n">
        <v>1</v>
      </c>
      <c r="F24" s="3">
        <f>E24*(TotalRevenue/50)*0.75</f>
        <v/>
      </c>
      <c r="G24" s="3">
        <f>F24*0.90</f>
        <v/>
      </c>
      <c r="H24" s="3">
        <f>D24+G24</f>
        <v/>
      </c>
      <c r="I24" s="3">
        <f>H24-C24</f>
        <v/>
      </c>
      <c r="J24" s="3">
        <f>J23+I24</f>
        <v/>
      </c>
      <c r="K24" s="30">
        <f>IF(J24&lt;0,-J24,0)</f>
        <v/>
      </c>
      <c r="L24" s="3">
        <f>K24*Finance_Rate/12</f>
        <v/>
      </c>
    </row>
    <row r="25">
      <c r="A25" t="n">
        <v>21</v>
      </c>
      <c r="B25" t="inlineStr">
        <is>
          <t>Closeout</t>
        </is>
      </c>
      <c r="C25" s="3">
        <f>TotalHardCosts*0.01</f>
        <v/>
      </c>
      <c r="D25" s="3" t="n">
        <v>0</v>
      </c>
      <c r="E25" t="n">
        <v>1</v>
      </c>
      <c r="F25" s="3">
        <f>(E25*(TotalRevenue/50)*1.00)+(SUM($E$5:$E$24)*(TotalRevenue/50)*0.25)</f>
        <v/>
      </c>
      <c r="G25" s="3">
        <f>F25*0.90</f>
        <v/>
      </c>
      <c r="H25" s="3">
        <f>D25+G25</f>
        <v/>
      </c>
      <c r="I25" s="3">
        <f>H25-C25</f>
        <v/>
      </c>
      <c r="J25" s="3">
        <f>J24+I25</f>
        <v/>
      </c>
      <c r="K25" s="30">
        <f>IF(J25&lt;0,-J25,0)</f>
        <v/>
      </c>
      <c r="L25" s="3">
        <f>K25*Finance_Rate/12</f>
        <v/>
      </c>
    </row>
    <row r="26">
      <c r="A26" t="n">
        <v>22</v>
      </c>
      <c r="B26" t="inlineStr">
        <is>
          <t>Punch List</t>
        </is>
      </c>
      <c r="C26" s="3">
        <f>TotalHardCosts*0.01</f>
        <v/>
      </c>
      <c r="D26" s="3" t="n">
        <v>0</v>
      </c>
      <c r="E26" t="n">
        <v>1</v>
      </c>
      <c r="F26" s="3">
        <f>E26*(TotalRevenue/50)*1.00</f>
        <v/>
      </c>
      <c r="G26" s="3">
        <f>F26*0.90</f>
        <v/>
      </c>
      <c r="H26" s="3">
        <f>D26+G26</f>
        <v/>
      </c>
      <c r="I26" s="3">
        <f>H26-C26</f>
        <v/>
      </c>
      <c r="J26" s="3">
        <f>J25+I26</f>
        <v/>
      </c>
      <c r="K26" s="30">
        <f>IF(J26&lt;0,-J26,0)</f>
        <v/>
      </c>
      <c r="L26" s="3">
        <f>K26*Finance_Rate/12</f>
        <v/>
      </c>
    </row>
    <row r="27">
      <c r="A27" t="n">
        <v>23</v>
      </c>
      <c r="B27" t="inlineStr">
        <is>
          <t>Final Inspection</t>
        </is>
      </c>
      <c r="C27" s="3">
        <f>TotalHardCosts*0.005</f>
        <v/>
      </c>
      <c r="D27" s="3" t="n">
        <v>0</v>
      </c>
      <c r="E27" t="n">
        <v>0</v>
      </c>
      <c r="F27" s="3">
        <f>E27*(TotalRevenue/50)*1.00</f>
        <v/>
      </c>
      <c r="G27" s="3">
        <f>F27*0.90</f>
        <v/>
      </c>
      <c r="H27" s="3">
        <f>D27+G27</f>
        <v/>
      </c>
      <c r="I27" s="3">
        <f>H27-C27</f>
        <v/>
      </c>
      <c r="J27" s="3">
        <f>J26+I27</f>
        <v/>
      </c>
      <c r="K27" s="30">
        <f>IF(J27&lt;0,-J27,0)</f>
        <v/>
      </c>
      <c r="L27" s="3">
        <f>K27*Finance_Rate/12</f>
        <v/>
      </c>
    </row>
    <row r="28">
      <c r="A28" t="n">
        <v>24</v>
      </c>
      <c r="B28" t="inlineStr">
        <is>
          <t>CO &amp; Turnover</t>
        </is>
      </c>
      <c r="C28" s="3">
        <f>TotalHardCosts*0.005</f>
        <v/>
      </c>
      <c r="D28" s="3" t="n">
        <v>0</v>
      </c>
      <c r="E28" t="n">
        <v>0</v>
      </c>
      <c r="F28" s="3">
        <f>E28*(TotalRevenue/50)*1.00</f>
        <v/>
      </c>
      <c r="G28" s="3">
        <f>F28+(SUM($F$5:$F$27)*0.10)</f>
        <v/>
      </c>
      <c r="H28" s="3">
        <f>D28+G28</f>
        <v/>
      </c>
      <c r="I28" s="3">
        <f>H28-C28</f>
        <v/>
      </c>
      <c r="J28" s="3">
        <f>J27+I28</f>
        <v/>
      </c>
      <c r="K28" s="30">
        <f>IF(J28&lt;0,-J28,0)</f>
        <v/>
      </c>
      <c r="L28" s="3">
        <f>K28*Finance_Rate/12</f>
        <v/>
      </c>
    </row>
    <row r="30">
      <c r="A30" s="5" t="inlineStr">
        <is>
          <t>TOTALS:</t>
        </is>
      </c>
      <c r="C30" s="7">
        <f>SUM(C5:C28)</f>
        <v/>
      </c>
      <c r="D30" s="7">
        <f>SUM(D5:D28)</f>
        <v/>
      </c>
      <c r="E30" s="16">
        <f>SUM(E5:E28)</f>
        <v/>
      </c>
      <c r="F30" s="7">
        <f>SUM(F5:F28)</f>
        <v/>
      </c>
      <c r="G30" s="7">
        <f>SUM(G5:G28)</f>
        <v/>
      </c>
    </row>
    <row r="32">
      <c r="A32" s="16" t="inlineStr">
        <is>
          <t>VERIFICATION:</t>
        </is>
      </c>
      <c r="B32" t="inlineStr">
        <is>
          <t>Total Pre-Sales Payment =</t>
        </is>
      </c>
      <c r="C32" s="3">
        <f>SUM(F5:F29)</f>
        <v/>
      </c>
      <c r="D32" t="inlineStr">
        <is>
          <t>Should = Total Revenue =</t>
        </is>
      </c>
      <c r="E32" s="3">
        <f>TotalRevenue</f>
        <v/>
      </c>
    </row>
    <row r="33">
      <c r="A33" s="31" t="inlineStr">
        <is>
          <t>MAX BRIDGE LOAN NEEDED:</t>
        </is>
      </c>
      <c r="B33" s="32">
        <f>MAX(K5:K29)</f>
        <v/>
      </c>
    </row>
    <row r="34">
      <c r="A34" s="31" t="inlineStr">
        <is>
          <t>TOTAL FINANCING COSTS (9% Interest):</t>
        </is>
      </c>
      <c r="B34" s="32">
        <f>SUM(L5:L28)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60" customWidth="1" min="1" max="1"/>
    <col width="52" customWidth="1" min="2" max="2"/>
    <col width="20" customWidth="1" min="3" max="3"/>
    <col width="13" customWidth="1" min="4" max="4"/>
    <col width="17" customWidth="1" min="5" max="5"/>
    <col width="19" customWidth="1" min="6" max="6"/>
    <col width="34" customWidth="1" min="7" max="7"/>
    <col width="10" customWidth="1" min="8" max="8"/>
  </cols>
  <sheetData>
    <row r="1">
      <c r="A1" s="10" t="inlineStr">
        <is>
          <t>GENERAL CONTRACTOR - REQUEST FOR QUOTE SUMMARY</t>
        </is>
      </c>
    </row>
    <row r="2">
      <c r="A2" t="inlineStr">
        <is>
          <t>NEVO Tower - 1580 79th St Causeway, North Bay Village, FL</t>
        </is>
      </c>
    </row>
    <row r="3">
      <c r="A3" t="inlineStr">
        <is>
          <t>Total Project: 108,675 GSF | 7 Stories + Rooftop | 50 Residential Units</t>
        </is>
      </c>
    </row>
    <row r="5">
      <c r="A5" s="17" t="inlineStr">
        <is>
          <t>CSI DIVISION BREAKDOWN - MATERIALS, LABOR &amp; WORKFORCE</t>
        </is>
      </c>
    </row>
    <row r="6">
      <c r="A6" s="17" t="inlineStr">
        <is>
          <t>CSI</t>
        </is>
      </c>
      <c r="B6" s="17" t="inlineStr">
        <is>
          <t>Description</t>
        </is>
      </c>
      <c r="C6" s="17" t="inlineStr">
        <is>
          <t>Total Cost</t>
        </is>
      </c>
      <c r="D6" s="17" t="inlineStr">
        <is>
          <t>Materials %</t>
        </is>
      </c>
      <c r="E6" s="17" t="inlineStr">
        <is>
          <t>Labor %</t>
        </is>
      </c>
      <c r="F6" s="17" t="inlineStr">
        <is>
          <t>Man-Hours</t>
        </is>
      </c>
      <c r="G6" s="17" t="inlineStr">
        <is>
          <t>Worker Type</t>
        </is>
      </c>
      <c r="H6" s="17" t="inlineStr">
        <is>
          <t>Crew Size</t>
        </is>
      </c>
    </row>
    <row r="7">
      <c r="A7" t="inlineStr">
        <is>
          <t>01</t>
        </is>
      </c>
      <c r="B7" t="inlineStr">
        <is>
          <t>General Requirements</t>
        </is>
      </c>
      <c r="C7" s="3">
        <f>10.53*108675</f>
        <v/>
      </c>
      <c r="D7" s="33" t="n">
        <v>0.4</v>
      </c>
      <c r="E7" s="33" t="n">
        <v>0.6</v>
      </c>
      <c r="F7" s="12" t="n">
        <v>15257</v>
      </c>
      <c r="G7" t="inlineStr">
        <is>
          <t>Project Management/Supervisors</t>
        </is>
      </c>
      <c r="H7" t="inlineStr">
        <is>
          <t>5-8</t>
        </is>
      </c>
    </row>
    <row r="8">
      <c r="A8" t="inlineStr">
        <is>
          <t>02</t>
        </is>
      </c>
      <c r="B8" t="inlineStr">
        <is>
          <t>Site Work &amp; Demolition</t>
        </is>
      </c>
      <c r="C8" s="3">
        <f>4.56*108675</f>
        <v/>
      </c>
      <c r="D8" s="33" t="n">
        <v>0.3</v>
      </c>
      <c r="E8" s="33" t="n">
        <v>0.7</v>
      </c>
      <c r="F8" s="12" t="n">
        <v>7708</v>
      </c>
      <c r="G8" t="inlineStr">
        <is>
          <t>Laborers/Equipment Operators</t>
        </is>
      </c>
      <c r="H8" t="inlineStr">
        <is>
          <t>6-10</t>
        </is>
      </c>
    </row>
    <row r="9">
      <c r="A9" t="inlineStr">
        <is>
          <t>03</t>
        </is>
      </c>
      <c r="B9" t="inlineStr">
        <is>
          <t>Concrete - PT Structure</t>
        </is>
      </c>
      <c r="C9" s="3">
        <f>39.47*108675</f>
        <v/>
      </c>
      <c r="D9" s="33" t="n">
        <v>0.45</v>
      </c>
      <c r="E9" s="33" t="n">
        <v>0.55</v>
      </c>
      <c r="F9" s="12" t="n">
        <v>52426</v>
      </c>
      <c r="G9" t="inlineStr">
        <is>
          <t>Concrete Workers/Ironworkers</t>
        </is>
      </c>
      <c r="H9" t="inlineStr">
        <is>
          <t>15-25</t>
        </is>
      </c>
    </row>
    <row r="10">
      <c r="A10" t="inlineStr">
        <is>
          <t>04</t>
        </is>
      </c>
      <c r="B10" t="inlineStr">
        <is>
          <t>Masonry</t>
        </is>
      </c>
      <c r="C10" s="3">
        <f>2.46*108675</f>
        <v/>
      </c>
      <c r="D10" s="33" t="n">
        <v>0.5</v>
      </c>
      <c r="E10" s="33" t="n">
        <v>0.5</v>
      </c>
      <c r="F10" s="12" t="n">
        <v>2970</v>
      </c>
      <c r="G10" t="inlineStr">
        <is>
          <t>Masons/Laborers</t>
        </is>
      </c>
      <c r="H10" t="inlineStr">
        <is>
          <t>4-6</t>
        </is>
      </c>
    </row>
    <row r="11">
      <c r="A11" t="inlineStr">
        <is>
          <t>05</t>
        </is>
      </c>
      <c r="B11" t="inlineStr">
        <is>
          <t>Metals &amp; Structural Steel</t>
        </is>
      </c>
      <c r="C11" s="3">
        <f>7.45*108675</f>
        <v/>
      </c>
      <c r="D11" s="33" t="n">
        <v>0.65</v>
      </c>
      <c r="E11" s="33" t="n">
        <v>0.35</v>
      </c>
      <c r="F11" s="12" t="n">
        <v>6297</v>
      </c>
      <c r="G11" t="inlineStr">
        <is>
          <t>Ironworkers/Welders</t>
        </is>
      </c>
      <c r="H11" t="inlineStr">
        <is>
          <t>6-10</t>
        </is>
      </c>
    </row>
    <row r="12">
      <c r="A12" t="inlineStr">
        <is>
          <t>06</t>
        </is>
      </c>
      <c r="B12" t="inlineStr">
        <is>
          <t>Wood &amp; Plastics</t>
        </is>
      </c>
      <c r="C12" s="3">
        <f>2.81*108675</f>
        <v/>
      </c>
      <c r="D12" s="33" t="n">
        <v>0.55</v>
      </c>
      <c r="E12" s="33" t="n">
        <v>0.45</v>
      </c>
      <c r="F12" s="12" t="n">
        <v>3053</v>
      </c>
      <c r="G12" t="inlineStr">
        <is>
          <t>Carpenters</t>
        </is>
      </c>
      <c r="H12" t="inlineStr">
        <is>
          <t>4-6</t>
        </is>
      </c>
    </row>
    <row r="13">
      <c r="A13" t="inlineStr">
        <is>
          <t>07</t>
        </is>
      </c>
      <c r="B13" t="inlineStr">
        <is>
          <t>Waterproofing &amp; Roofing</t>
        </is>
      </c>
      <c r="C13" s="3">
        <f>19.3*108675</f>
        <v/>
      </c>
      <c r="D13" s="33" t="n">
        <v>0.4</v>
      </c>
      <c r="E13" s="33" t="n">
        <v>0.6</v>
      </c>
      <c r="F13" s="12" t="n">
        <v>27965</v>
      </c>
      <c r="G13" t="inlineStr">
        <is>
          <t>Roofers/Waterproofing Specialists</t>
        </is>
      </c>
      <c r="H13" t="inlineStr">
        <is>
          <t>6-10</t>
        </is>
      </c>
    </row>
    <row r="14">
      <c r="A14" t="inlineStr">
        <is>
          <t>08</t>
        </is>
      </c>
      <c r="B14" t="inlineStr">
        <is>
          <t>Doors, Windows &amp; HVHZ Glazing</t>
        </is>
      </c>
      <c r="C14" s="3">
        <f>24.55*108675</f>
        <v/>
      </c>
      <c r="D14" s="33" t="n">
        <v>0.7</v>
      </c>
      <c r="E14" s="33" t="n">
        <v>0.3</v>
      </c>
      <c r="F14" s="12" t="n">
        <v>17786</v>
      </c>
      <c r="G14" t="inlineStr">
        <is>
          <t>Glaziers/Installation Specialists</t>
        </is>
      </c>
      <c r="H14" t="inlineStr">
        <is>
          <t>8-12</t>
        </is>
      </c>
    </row>
    <row r="15">
      <c r="A15" t="inlineStr">
        <is>
          <t>09</t>
        </is>
      </c>
      <c r="B15" t="inlineStr">
        <is>
          <t>Interior Finishes</t>
        </is>
      </c>
      <c r="C15" s="3">
        <f>36.83*108675</f>
        <v/>
      </c>
      <c r="D15" s="33" t="n">
        <v>0.45</v>
      </c>
      <c r="E15" s="33" t="n">
        <v>0.55</v>
      </c>
      <c r="F15" s="12" t="n">
        <v>48919</v>
      </c>
      <c r="G15" t="inlineStr">
        <is>
          <t>Carpenters/Painters/Drywall</t>
        </is>
      </c>
      <c r="H15" t="inlineStr">
        <is>
          <t>20-30</t>
        </is>
      </c>
    </row>
    <row r="16">
      <c r="A16" t="inlineStr">
        <is>
          <t>10</t>
        </is>
      </c>
      <c r="B16" t="inlineStr">
        <is>
          <t>Specialties</t>
        </is>
      </c>
      <c r="C16" s="3">
        <f>3.95*108675</f>
        <v/>
      </c>
      <c r="D16" s="33" t="n">
        <v>0.75</v>
      </c>
      <c r="E16" s="33" t="n">
        <v>0.25</v>
      </c>
      <c r="F16" s="12" t="n">
        <v>2384</v>
      </c>
      <c r="G16" t="inlineStr">
        <is>
          <t>Specialty Installers</t>
        </is>
      </c>
      <c r="H16" t="inlineStr">
        <is>
          <t>2-4</t>
        </is>
      </c>
    </row>
    <row r="17">
      <c r="A17" t="inlineStr">
        <is>
          <t>11</t>
        </is>
      </c>
      <c r="B17" t="inlineStr">
        <is>
          <t>Equipment</t>
        </is>
      </c>
      <c r="C17" s="3">
        <f>3.33*108675</f>
        <v/>
      </c>
      <c r="D17" s="33" t="n">
        <v>0.8</v>
      </c>
      <c r="E17" s="33" t="n">
        <v>0.2</v>
      </c>
      <c r="F17" s="12" t="n">
        <v>1608</v>
      </c>
      <c r="G17" t="inlineStr">
        <is>
          <t>Equipment Installers</t>
        </is>
      </c>
      <c r="H17" t="inlineStr">
        <is>
          <t>2-4</t>
        </is>
      </c>
    </row>
    <row r="18">
      <c r="A18" t="inlineStr">
        <is>
          <t>12</t>
        </is>
      </c>
      <c r="B18" t="inlineStr">
        <is>
          <t>Furnishings</t>
        </is>
      </c>
      <c r="C18" s="3">
        <f>1.05*108675</f>
        <v/>
      </c>
      <c r="D18" s="33" t="n">
        <v>0.85</v>
      </c>
      <c r="E18" s="33" t="n">
        <v>0.15</v>
      </c>
      <c r="F18" s="12" t="n">
        <v>380</v>
      </c>
      <c r="G18" t="inlineStr">
        <is>
          <t>Installers</t>
        </is>
      </c>
      <c r="H18" t="inlineStr">
        <is>
          <t>2-3</t>
        </is>
      </c>
    </row>
    <row r="19">
      <c r="A19" t="inlineStr">
        <is>
          <t>13</t>
        </is>
      </c>
      <c r="B19" t="inlineStr">
        <is>
          <t>Special Construction</t>
        </is>
      </c>
      <c r="C19" s="3">
        <f>1.58*108675</f>
        <v/>
      </c>
      <c r="D19" s="33" t="n">
        <v>0.6</v>
      </c>
      <c r="E19" s="33" t="n">
        <v>0.4</v>
      </c>
      <c r="F19" s="12" t="n">
        <v>1526</v>
      </c>
      <c r="G19" t="inlineStr">
        <is>
          <t>Specialty Contractors</t>
        </is>
      </c>
      <c r="H19" t="inlineStr">
        <is>
          <t>3-5</t>
        </is>
      </c>
    </row>
    <row r="20">
      <c r="A20" t="inlineStr">
        <is>
          <t>14</t>
        </is>
      </c>
      <c r="B20" t="inlineStr">
        <is>
          <t>Elevators</t>
        </is>
      </c>
      <c r="C20" s="3">
        <f>3.1*108675</f>
        <v/>
      </c>
      <c r="D20" s="33" t="n">
        <v>0.75</v>
      </c>
      <c r="E20" s="33" t="n">
        <v>0.25</v>
      </c>
      <c r="F20" s="12" t="n">
        <v>1871</v>
      </c>
      <c r="G20" t="inlineStr">
        <is>
          <t>Elevator Mechanics/Technicians</t>
        </is>
      </c>
      <c r="H20" t="inlineStr">
        <is>
          <t>4-6</t>
        </is>
      </c>
    </row>
    <row r="21">
      <c r="A21" t="inlineStr">
        <is>
          <t>21</t>
        </is>
      </c>
      <c r="B21" t="inlineStr">
        <is>
          <t>Fire Suppression</t>
        </is>
      </c>
      <c r="C21" s="3">
        <f>6.58*108675</f>
        <v/>
      </c>
      <c r="D21" s="33" t="n">
        <v>0.5</v>
      </c>
      <c r="E21" s="33" t="n">
        <v>0.5</v>
      </c>
      <c r="F21" s="12" t="n">
        <v>7945</v>
      </c>
      <c r="G21" t="inlineStr">
        <is>
          <t>Pipefitters/Sprinkler Fitters</t>
        </is>
      </c>
      <c r="H21" t="inlineStr">
        <is>
          <t>4-6</t>
        </is>
      </c>
    </row>
    <row r="22">
      <c r="A22" t="inlineStr">
        <is>
          <t>22</t>
        </is>
      </c>
      <c r="B22" t="inlineStr">
        <is>
          <t>Plumbing</t>
        </is>
      </c>
      <c r="C22" s="3">
        <f>8.77*108675</f>
        <v/>
      </c>
      <c r="D22" s="33" t="n">
        <v>0.45</v>
      </c>
      <c r="E22" s="33" t="n">
        <v>0.55</v>
      </c>
      <c r="F22" s="12" t="n">
        <v>11648</v>
      </c>
      <c r="G22" t="inlineStr">
        <is>
          <t>Plumbers/Pipefitters</t>
        </is>
      </c>
      <c r="H22" t="inlineStr">
        <is>
          <t>6-10</t>
        </is>
      </c>
    </row>
    <row r="23">
      <c r="A23" t="inlineStr">
        <is>
          <t>23</t>
        </is>
      </c>
      <c r="B23" t="inlineStr">
        <is>
          <t>HVAC</t>
        </is>
      </c>
      <c r="C23" s="3">
        <f>13.15*108675</f>
        <v/>
      </c>
      <c r="D23" s="33" t="n">
        <v>0.5</v>
      </c>
      <c r="E23" s="33" t="n">
        <v>0.5</v>
      </c>
      <c r="F23" s="12" t="n">
        <v>15878</v>
      </c>
      <c r="G23" t="inlineStr">
        <is>
          <t>HVAC Technicians/Sheet Metal</t>
        </is>
      </c>
      <c r="H23" t="inlineStr">
        <is>
          <t>8-12</t>
        </is>
      </c>
    </row>
    <row r="24">
      <c r="A24" t="inlineStr">
        <is>
          <t>26</t>
        </is>
      </c>
      <c r="B24" t="inlineStr">
        <is>
          <t>Electrical</t>
        </is>
      </c>
      <c r="C24" s="3">
        <f>13.15*108675</f>
        <v/>
      </c>
      <c r="D24" s="33" t="n">
        <v>0.4</v>
      </c>
      <c r="E24" s="33" t="n">
        <v>0.6</v>
      </c>
      <c r="F24" s="12" t="n">
        <v>19054</v>
      </c>
      <c r="G24" t="inlineStr">
        <is>
          <t>Electricians/Low Voltage Tech</t>
        </is>
      </c>
      <c r="H24" t="inlineStr">
        <is>
          <t>10-15</t>
        </is>
      </c>
    </row>
    <row r="25">
      <c r="A25" t="inlineStr">
        <is>
          <t>27</t>
        </is>
      </c>
      <c r="B25" t="inlineStr">
        <is>
          <t>Communications &amp; Data</t>
        </is>
      </c>
      <c r="C25" s="3">
        <f>1.75*108675</f>
        <v/>
      </c>
      <c r="D25" s="33" t="n">
        <v>0.6</v>
      </c>
      <c r="E25" s="33" t="n">
        <v>0.4</v>
      </c>
      <c r="F25" s="12" t="n">
        <v>1690</v>
      </c>
      <c r="G25" t="inlineStr">
        <is>
          <t>Low Voltage Technicians</t>
        </is>
      </c>
      <c r="H25" t="inlineStr">
        <is>
          <t>3-5</t>
        </is>
      </c>
    </row>
    <row r="26">
      <c r="A26" t="inlineStr">
        <is>
          <t>28</t>
        </is>
      </c>
      <c r="B26" t="inlineStr">
        <is>
          <t>Security &amp; Fire Alarm</t>
        </is>
      </c>
      <c r="C26" s="3">
        <f>1.75*108675</f>
        <v/>
      </c>
      <c r="D26" s="33" t="n">
        <v>0.65</v>
      </c>
      <c r="E26" s="33" t="n">
        <v>0.35</v>
      </c>
      <c r="F26" s="12" t="n">
        <v>1479</v>
      </c>
      <c r="G26" t="inlineStr">
        <is>
          <t>Security/Fire Alarm Techs</t>
        </is>
      </c>
      <c r="H26" t="inlineStr">
        <is>
          <t>3-4</t>
        </is>
      </c>
    </row>
    <row r="27">
      <c r="A27" t="inlineStr">
        <is>
          <t>31</t>
        </is>
      </c>
      <c r="B27" t="inlineStr">
        <is>
          <t>Earthwork</t>
        </is>
      </c>
      <c r="C27" s="3">
        <f>3.68*108675</f>
        <v/>
      </c>
      <c r="D27" s="33" t="n">
        <v>0.25</v>
      </c>
      <c r="E27" s="33" t="n">
        <v>0.75</v>
      </c>
      <c r="F27" s="12" t="n">
        <v>6665</v>
      </c>
      <c r="G27" t="inlineStr">
        <is>
          <t>Equipment Operators/Laborers</t>
        </is>
      </c>
      <c r="H27" t="inlineStr">
        <is>
          <t>6-8</t>
        </is>
      </c>
    </row>
    <row r="28">
      <c r="A28" t="inlineStr">
        <is>
          <t>32</t>
        </is>
      </c>
      <c r="B28" t="inlineStr">
        <is>
          <t>Exterior Improvements</t>
        </is>
      </c>
      <c r="C28" s="3">
        <f>3.51*108675</f>
        <v/>
      </c>
      <c r="D28" s="33" t="n">
        <v>0.5</v>
      </c>
      <c r="E28" s="33" t="n">
        <v>0.5</v>
      </c>
      <c r="F28" s="12" t="n">
        <v>4238</v>
      </c>
      <c r="G28" t="inlineStr">
        <is>
          <t>Landscapers/Pavers/Masons</t>
        </is>
      </c>
      <c r="H28" t="inlineStr">
        <is>
          <t>6-10</t>
        </is>
      </c>
    </row>
    <row r="29">
      <c r="A29" t="inlineStr">
        <is>
          <t>33</t>
        </is>
      </c>
      <c r="B29" t="inlineStr">
        <is>
          <t>Utilities</t>
        </is>
      </c>
      <c r="C29" s="3">
        <f>2.81*108675</f>
        <v/>
      </c>
      <c r="D29" s="33" t="n">
        <v>0.55</v>
      </c>
      <c r="E29" s="33" t="n">
        <v>0.45</v>
      </c>
      <c r="F29" s="12" t="n">
        <v>3053</v>
      </c>
      <c r="G29" t="inlineStr">
        <is>
          <t>Utility Workers/Excavators</t>
        </is>
      </c>
      <c r="H29" t="inlineStr">
        <is>
          <t>4-6</t>
        </is>
      </c>
    </row>
    <row r="30">
      <c r="B30" s="16" t="inlineStr">
        <is>
          <t>SUBTOTAL - Direct Costs</t>
        </is>
      </c>
      <c r="C30" s="19">
        <f>SUM(C7:C29)</f>
        <v/>
      </c>
      <c r="F30" s="34">
        <f>SUM(F7:F29)</f>
        <v/>
      </c>
    </row>
    <row r="32">
      <c r="B32" t="inlineStr">
        <is>
          <t>General Conditions (9%)</t>
        </is>
      </c>
      <c r="C32" s="3">
        <f>C30*GC_GC</f>
        <v/>
      </c>
      <c r="F32" s="12" t="n">
        <v>13090</v>
      </c>
      <c r="G32" t="inlineStr">
        <is>
          <t>Project Manager/Super/Admin</t>
        </is>
      </c>
    </row>
    <row r="33">
      <c r="B33" t="inlineStr">
        <is>
          <t>Overhead &amp; Profit (10%)</t>
        </is>
      </c>
      <c r="C33" s="3">
        <f>(C30+C32)*GC_OHP</f>
        <v/>
      </c>
    </row>
    <row r="34">
      <c r="B34" t="inlineStr">
        <is>
          <t>Contingencies (16%)</t>
        </is>
      </c>
      <c r="C34" s="3">
        <f>(C30+C32+C33)*0.16</f>
        <v/>
      </c>
    </row>
    <row r="36">
      <c r="B36" s="5" t="inlineStr">
        <is>
          <t>TOTAL HARD COSTS</t>
        </is>
      </c>
      <c r="C36" s="6">
        <f>TotalHardCosts</f>
        <v/>
      </c>
      <c r="F36" s="35">
        <f>F30+F32</f>
        <v/>
      </c>
    </row>
    <row r="39">
      <c r="A39" s="17" t="inlineStr">
        <is>
          <t>WORKFORCE SUMMARY</t>
        </is>
      </c>
    </row>
    <row r="40">
      <c r="A40" s="17" t="inlineStr">
        <is>
          <t>Category</t>
        </is>
      </c>
      <c r="B40" s="17" t="inlineStr">
        <is>
          <t>Worker Types</t>
        </is>
      </c>
      <c r="C40" s="17" t="inlineStr">
        <is>
          <t>Est. Man-Hours</t>
        </is>
      </c>
      <c r="D40" s="17" t="inlineStr">
        <is>
          <t>Avg Rate/Hr</t>
        </is>
      </c>
      <c r="E40" s="17" t="inlineStr">
        <is>
          <t>Total Labor Cost</t>
        </is>
      </c>
      <c r="F40" s="17" t="inlineStr">
        <is>
          <t>Peak Workers</t>
        </is>
      </c>
      <c r="G40" s="17" t="inlineStr">
        <is>
          <t>Duration</t>
        </is>
      </c>
    </row>
    <row r="41">
      <c r="A41" t="inlineStr">
        <is>
          <t>Skilled Trades</t>
        </is>
      </c>
      <c r="B41" t="inlineStr">
        <is>
          <t>Concrete, Ironworkers, Electricians, Plumbers, HVAC</t>
        </is>
      </c>
      <c r="C41" s="12" t="n">
        <v>130900</v>
      </c>
      <c r="D41" s="3" t="n">
        <v>55</v>
      </c>
      <c r="E41" s="3">
        <f>C41*D41</f>
        <v/>
      </c>
      <c r="F41">
        <f>INT(C41/2000*1.5)</f>
        <v/>
      </c>
      <c r="G41" t="inlineStr">
        <is>
          <t>18-24 months</t>
        </is>
      </c>
    </row>
    <row r="42">
      <c r="A42" t="inlineStr">
        <is>
          <t>Semi-Skilled</t>
        </is>
      </c>
      <c r="B42" t="inlineStr">
        <is>
          <t>Carpenters, Masons, Painters, Drywall</t>
        </is>
      </c>
      <c r="C42" s="12" t="n">
        <v>65450</v>
      </c>
      <c r="D42" s="3" t="n">
        <v>40</v>
      </c>
      <c r="E42" s="3">
        <f>C42*D42</f>
        <v/>
      </c>
      <c r="F42">
        <f>INT(C42/2000*1.5)</f>
        <v/>
      </c>
      <c r="G42" t="inlineStr">
        <is>
          <t>12-20 months</t>
        </is>
      </c>
    </row>
    <row r="43">
      <c r="A43" t="inlineStr">
        <is>
          <t>Laborers</t>
        </is>
      </c>
      <c r="B43" t="inlineStr">
        <is>
          <t>General Labor, Site Work, Material Handling</t>
        </is>
      </c>
      <c r="C43" s="12" t="n">
        <v>39270</v>
      </c>
      <c r="D43" s="3" t="n">
        <v>30</v>
      </c>
      <c r="E43" s="3">
        <f>C43*D43</f>
        <v/>
      </c>
      <c r="F43">
        <f>INT(C43/2000*1.5)</f>
        <v/>
      </c>
      <c r="G43" t="inlineStr">
        <is>
          <t>1-24 months</t>
        </is>
      </c>
    </row>
    <row r="44">
      <c r="A44" t="inlineStr">
        <is>
          <t>Specialists</t>
        </is>
      </c>
      <c r="B44" t="inlineStr">
        <is>
          <t>Glaziers, Waterproofing, Elevator Techs</t>
        </is>
      </c>
      <c r="C44" s="12" t="n">
        <v>20944</v>
      </c>
      <c r="D44" s="3" t="n">
        <v>60</v>
      </c>
      <c r="E44" s="3">
        <f>C44*D44</f>
        <v/>
      </c>
      <c r="F44">
        <f>INT(C44/2000*1.5)</f>
        <v/>
      </c>
      <c r="G44" t="inlineStr">
        <is>
          <t>8-18 months</t>
        </is>
      </c>
    </row>
    <row r="45">
      <c r="A45" t="inlineStr">
        <is>
          <t>Management/Super</t>
        </is>
      </c>
      <c r="B45" t="inlineStr">
        <is>
          <t>PM, Superintendent, Foremen, Admin</t>
        </is>
      </c>
      <c r="C45" s="12" t="n">
        <v>5236</v>
      </c>
      <c r="D45" s="3" t="n">
        <v>75</v>
      </c>
      <c r="E45" s="3">
        <f>C45*D45</f>
        <v/>
      </c>
      <c r="F45">
        <f>INT(C45/2000*1.5)</f>
        <v/>
      </c>
      <c r="G45" t="inlineStr">
        <is>
          <t>1-24 months</t>
        </is>
      </c>
    </row>
    <row r="47">
      <c r="A47" s="16" t="inlineStr">
        <is>
          <t>TOTAL WORKFORCE</t>
        </is>
      </c>
      <c r="C47" s="36">
        <f>SUM(C41:C45)</f>
        <v/>
      </c>
      <c r="E47" s="7">
        <f>SUM(E41:E45)</f>
        <v/>
      </c>
      <c r="F47" s="16">
        <f>SUM(F41:F45)</f>
        <v/>
      </c>
    </row>
  </sheetData>
  <mergeCells count="5">
    <mergeCell ref="A1:H1"/>
    <mergeCell ref="A3:H3"/>
    <mergeCell ref="A39:H39"/>
    <mergeCell ref="A2:H2"/>
    <mergeCell ref="A5:H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9" customWidth="1" min="1" max="1"/>
    <col width="44" customWidth="1" min="2" max="2"/>
  </cols>
  <sheetData>
    <row r="1">
      <c r="A1" s="10" t="inlineStr">
        <is>
          <t>HOW TO KEEP THIS WORKBOOK IN SYNC</t>
        </is>
      </c>
    </row>
    <row r="3">
      <c r="A3" t="inlineStr">
        <is>
          <t>YELLOW CELLS = EDITABLE</t>
        </is>
      </c>
      <c r="B3" t="inlineStr">
        <is>
          <t>You can change these values</t>
        </is>
      </c>
    </row>
    <row r="4"/>
    <row r="5">
      <c r="A5" t="inlineStr">
        <is>
          <t>When you edit a yellow cell:</t>
        </is>
      </c>
      <c r="B5" t="inlineStr">
        <is>
          <t>All formulas update automatically</t>
        </is>
      </c>
    </row>
    <row r="6"/>
    <row r="7">
      <c r="A7" t="inlineStr">
        <is>
          <t>Named Ranges:</t>
        </is>
      </c>
      <c r="B7" t="inlineStr">
        <is>
          <t>Connect sheets together</t>
        </is>
      </c>
    </row>
    <row r="8">
      <c r="A8" t="inlineStr">
        <is>
          <t>Example:</t>
        </is>
      </c>
      <c r="B8" t="inlineStr">
        <is>
          <t>TotalHardCosts pulls from Hard Costs sheet</t>
        </is>
      </c>
    </row>
    <row r="9"/>
    <row r="10">
      <c r="A10" t="inlineStr">
        <is>
          <t>To regenerate this file:</t>
        </is>
      </c>
      <c r="B10" t="inlineStr">
        <is>
          <t>Run scripts/make_interactive_workbook_v3.py</t>
        </is>
      </c>
    </row>
    <row r="11"/>
    <row r="12">
      <c r="A12" s="16" t="inlineStr">
        <is>
          <t>ALL 11 CORRECTIONS APPLIED:</t>
        </is>
      </c>
    </row>
    <row r="13">
      <c r="A13" t="inlineStr">
        <is>
          <t>1. Summary - % in column C</t>
        </is>
      </c>
      <c r="B13" s="37" t="inlineStr">
        <is>
          <t>✓</t>
        </is>
      </c>
    </row>
    <row r="14">
      <c r="A14" t="inlineStr">
        <is>
          <t>2. Assumptions - % in columns C &amp; D</t>
        </is>
      </c>
      <c r="B14" s="37" t="inlineStr">
        <is>
          <t>✓</t>
        </is>
      </c>
    </row>
    <row r="15">
      <c r="A15" t="inlineStr">
        <is>
          <t>3. Soft costs = 12% of project cost</t>
        </is>
      </c>
      <c r="B15" s="37" t="inlineStr">
        <is>
          <t>✓</t>
        </is>
      </c>
    </row>
    <row r="16">
      <c r="A16" t="inlineStr">
        <is>
          <t>4. All formulas use named ranges</t>
        </is>
      </c>
      <c r="B16" s="37" t="inlineStr">
        <is>
          <t>✓</t>
        </is>
      </c>
    </row>
    <row r="17">
      <c r="A17" t="inlineStr">
        <is>
          <t>5. Cash flow with formulas &amp; 50 units</t>
        </is>
      </c>
      <c r="B17" s="37" t="inlineStr">
        <is>
          <t>✓</t>
        </is>
      </c>
    </row>
    <row r="18">
      <c r="A18" t="inlineStr">
        <is>
          <t>6. SC Cash OUT label corrected</t>
        </is>
      </c>
      <c r="B18" s="37" t="inlineStr">
        <is>
          <t>✓</t>
        </is>
      </c>
    </row>
    <row r="19">
      <c r="A19" t="inlineStr">
        <is>
          <t>7. Auto-fit columns</t>
        </is>
      </c>
      <c r="B19" s="37" t="inlineStr">
        <is>
          <t>✓</t>
        </is>
      </c>
    </row>
    <row r="20">
      <c r="A20" t="inlineStr">
        <is>
          <t>8. SF with commas throughout</t>
        </is>
      </c>
      <c r="B20" s="37" t="inlineStr">
        <is>
          <t>✓</t>
        </is>
      </c>
    </row>
    <row r="21">
      <c r="A21" t="inlineStr">
        <is>
          <t>9. Soft costs categorized IN-KIND/CASH</t>
        </is>
      </c>
      <c r="B21" s="37" t="inlineStr">
        <is>
          <t>✓</t>
        </is>
      </c>
    </row>
    <row r="22">
      <c r="A22" t="inlineStr">
        <is>
          <t>10. Project deal sheet corrected</t>
        </is>
      </c>
      <c r="B22" s="37" t="inlineStr">
        <is>
          <t>✓</t>
        </is>
      </c>
    </row>
    <row r="23">
      <c r="A23" t="inlineStr">
        <is>
          <t>11. All sheets formatted properly</t>
        </is>
      </c>
      <c r="B23" s="37" t="inlineStr">
        <is>
          <t>✓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959"/>
  <sheetViews>
    <sheetView workbookViewId="0">
      <selection activeCell="A1" sqref="A1"/>
    </sheetView>
  </sheetViews>
  <sheetFormatPr baseColWidth="8" defaultRowHeight="15"/>
  <cols>
    <col width="6.63" customWidth="1" min="1" max="1"/>
    <col width="13.13" customWidth="1" min="2" max="2"/>
    <col width="6.13" customWidth="1" min="3" max="3"/>
    <col width="5.63" customWidth="1" min="4" max="4"/>
    <col width="6.5" customWidth="1" min="5" max="5"/>
    <col width="13.5" customWidth="1" min="6" max="6"/>
    <col width="6.13" customWidth="1" min="7" max="7"/>
    <col width="13.38" customWidth="1" min="8" max="8"/>
    <col width="6.13" customWidth="1" min="9" max="9"/>
    <col width="11.88" customWidth="1" min="10" max="10"/>
    <col width="12.88" customWidth="1" min="11" max="11"/>
    <col width="28.63" customWidth="1" min="12" max="12"/>
    <col width="11.13" customWidth="1" min="13" max="13"/>
    <col width="10.38" customWidth="1" min="14" max="14"/>
    <col width="9.75" customWidth="1" min="15" max="15"/>
    <col width="9.380000000000001" customWidth="1" min="16" max="16"/>
    <col width="13.63" customWidth="1" min="17" max="17"/>
    <col width="9.380000000000001" customWidth="1" min="18" max="18"/>
    <col width="9" customWidth="1" min="19" max="19"/>
    <col width="9.380000000000001" customWidth="1" min="20" max="20"/>
    <col width="13.38" customWidth="1" min="21" max="21"/>
    <col width="10.63" customWidth="1" min="22" max="22"/>
    <col width="5.75" customWidth="1" min="23" max="23"/>
    <col width="13.13" customWidth="1" min="24" max="24"/>
    <col width="8.75" customWidth="1" min="26" max="26"/>
    <col width="8.630000000000001" customWidth="1" min="28" max="28"/>
    <col width="15.88" customWidth="1" min="29" max="29"/>
    <col width="8.630000000000001" customWidth="1" min="30" max="30"/>
  </cols>
  <sheetData>
    <row r="1">
      <c r="A1" s="38" t="inlineStr">
        <is>
          <t>Floor #</t>
        </is>
      </c>
      <c r="B1" s="38" t="inlineStr">
        <is>
          <t>Saleable</t>
        </is>
      </c>
      <c r="C1" s="38" t="inlineStr">
        <is>
          <t>Height</t>
        </is>
      </c>
      <c r="D1" s="38" t="inlineStr">
        <is>
          <t>Width</t>
        </is>
      </c>
      <c r="E1" s="38" t="inlineStr">
        <is>
          <t>Length</t>
        </is>
      </c>
      <c r="F1" s="38" t="inlineStr">
        <is>
          <t>Floor Plate GSF</t>
        </is>
      </c>
      <c r="G1" s="38" t="inlineStr">
        <is>
          <t>%GSF</t>
        </is>
      </c>
      <c r="H1" s="38" t="inlineStr">
        <is>
          <t>Floor Plate NSF</t>
        </is>
      </c>
      <c r="I1" s="38" t="inlineStr">
        <is>
          <t>%NSF</t>
        </is>
      </c>
      <c r="J1" s="38" t="inlineStr">
        <is>
          <t>Unit Size NSF</t>
        </is>
      </c>
      <c r="K1" s="39" t="inlineStr">
        <is>
          <t>Units per Floor</t>
        </is>
      </c>
      <c r="L1" s="38" t="inlineStr">
        <is>
          <t>USE</t>
        </is>
      </c>
      <c r="M1" s="38" t="inlineStr">
        <is>
          <t>Units by Use</t>
        </is>
      </c>
      <c r="N1" s="38" t="inlineStr">
        <is>
          <t>GSF by Use</t>
        </is>
      </c>
      <c r="O1" s="38" t="inlineStr">
        <is>
          <t>Cost by SF</t>
        </is>
      </c>
      <c r="P1" s="38" t="inlineStr">
        <is>
          <t>Unit Cost</t>
        </is>
      </c>
      <c r="Q1" s="38" t="inlineStr">
        <is>
          <t>Total Floor Cost</t>
        </is>
      </c>
      <c r="R1" s="38" t="inlineStr">
        <is>
          <t>Soft Cost</t>
        </is>
      </c>
      <c r="S1" s="38" t="inlineStr">
        <is>
          <t>Sell by SF</t>
        </is>
      </c>
      <c r="T1" s="38" t="inlineStr">
        <is>
          <t>Unit Sale</t>
        </is>
      </c>
      <c r="U1" s="38" t="inlineStr">
        <is>
          <t>Total Floor Sale</t>
        </is>
      </c>
      <c r="V1" s="38" t="inlineStr">
        <is>
          <t>Gross Profit</t>
        </is>
      </c>
      <c r="W1" s="40" t="inlineStr">
        <is>
          <t>GP %</t>
        </is>
      </c>
      <c r="X1" s="41" t="inlineStr">
        <is>
          <t>address</t>
        </is>
      </c>
      <c r="Y1" s="38" t="n"/>
      <c r="Z1" s="38" t="n"/>
      <c r="AA1" s="38" t="n"/>
      <c r="AB1" s="38" t="n"/>
      <c r="AC1" s="42" t="n"/>
      <c r="AD1" s="42" t="n"/>
      <c r="AE1" s="42" t="n"/>
      <c r="AF1" s="42" t="n"/>
      <c r="AG1" s="42" t="n"/>
      <c r="AH1" s="42" t="n"/>
    </row>
    <row r="2">
      <c r="A2" s="42" t="n">
        <v>1</v>
      </c>
      <c r="B2" s="42" t="inlineStr">
        <is>
          <t>Saleable @Cost</t>
        </is>
      </c>
      <c r="C2" s="43" t="n">
        <v>12</v>
      </c>
      <c r="D2" s="43" t="n">
        <v>75</v>
      </c>
      <c r="E2" s="43" t="n">
        <v>175</v>
      </c>
      <c r="F2" s="44">
        <f>E2*D2</f>
        <v/>
      </c>
      <c r="G2" s="45">
        <f>F2/$F$10</f>
        <v/>
      </c>
      <c r="H2" s="44">
        <f>F2*0.8</f>
        <v/>
      </c>
      <c r="I2" s="45">
        <f>H2/$H$10</f>
        <v/>
      </c>
      <c r="J2" s="44">
        <f>F2/K2*0.8</f>
        <v/>
      </c>
      <c r="K2" s="46" t="n">
        <v>1</v>
      </c>
      <c r="L2" s="47" t="inlineStr">
        <is>
          <t>Chabad House - Mikvah</t>
        </is>
      </c>
      <c r="M2" s="44">
        <f>K2</f>
        <v/>
      </c>
      <c r="N2" s="44">
        <f>F2</f>
        <v/>
      </c>
      <c r="O2" s="48" t="n">
        <v>300.0585</v>
      </c>
      <c r="P2" s="48">
        <f>F2/K2*O2</f>
        <v/>
      </c>
      <c r="Q2" s="48">
        <f>P2*K2</f>
        <v/>
      </c>
      <c r="R2" s="48">
        <f>Q2*0.12</f>
        <v/>
      </c>
      <c r="S2" s="48" t="n">
        <v>400</v>
      </c>
      <c r="T2" s="48">
        <f>H2/K2*S2</f>
        <v/>
      </c>
      <c r="U2" s="48">
        <f>T2*K2</f>
        <v/>
      </c>
      <c r="V2" s="44" t="n"/>
      <c r="W2" s="44" t="n"/>
      <c r="X2" s="47" t="inlineStr">
        <is>
          <t>1580 79st. causeway, North Bay Village, FL 33141</t>
        </is>
      </c>
      <c r="Y2" s="47" t="n"/>
      <c r="Z2" s="47" t="n"/>
      <c r="AA2" s="47" t="n"/>
      <c r="AB2" s="47" t="n"/>
      <c r="AC2" s="47" t="n"/>
      <c r="AD2" s="47" t="n"/>
      <c r="AE2" s="47" t="n"/>
      <c r="AF2" s="47" t="n"/>
      <c r="AG2" s="47" t="n"/>
      <c r="AH2" s="47" t="n"/>
    </row>
    <row r="3">
      <c r="A3" s="42" t="n">
        <v>2</v>
      </c>
      <c r="B3" s="42" t="inlineStr">
        <is>
          <t>Non-Saleable</t>
        </is>
      </c>
      <c r="C3" s="43" t="n">
        <v>9</v>
      </c>
      <c r="D3" s="43" t="n">
        <v>90</v>
      </c>
      <c r="E3" s="43" t="n">
        <v>175</v>
      </c>
      <c r="F3" s="44">
        <f>E3*D3</f>
        <v/>
      </c>
      <c r="G3" s="45">
        <f>F3/$F$10</f>
        <v/>
      </c>
      <c r="H3" s="44">
        <f>F3*0.8</f>
        <v/>
      </c>
      <c r="I3" s="45">
        <f>H3/$H$10</f>
        <v/>
      </c>
      <c r="J3" s="44">
        <f>F3/K3*0.8</f>
        <v/>
      </c>
      <c r="K3" s="46" t="n">
        <v>51</v>
      </c>
      <c r="L3" s="47" t="inlineStr">
        <is>
          <t xml:space="preserve">Parking - EV Stations / ADA </t>
        </is>
      </c>
      <c r="M3" s="47" t="n"/>
      <c r="N3" s="47" t="n"/>
      <c r="O3" s="48" t="n">
        <v>300.06</v>
      </c>
      <c r="P3" s="48">
        <f>F3/K3*O3</f>
        <v/>
      </c>
      <c r="Q3" s="48">
        <f>P3*K3</f>
        <v/>
      </c>
      <c r="R3" s="48">
        <f>Q3*0.12</f>
        <v/>
      </c>
      <c r="S3" s="48" t="n"/>
      <c r="T3" s="48">
        <f>H3/K3*S3</f>
        <v/>
      </c>
      <c r="U3" s="48">
        <f>T3*K3</f>
        <v/>
      </c>
      <c r="V3" s="44" t="n"/>
      <c r="W3" s="44" t="n"/>
      <c r="X3" s="47" t="n"/>
      <c r="Y3" s="47" t="n"/>
      <c r="Z3" s="47" t="n"/>
      <c r="AA3" s="47" t="n"/>
      <c r="AB3" s="47" t="n"/>
      <c r="AC3" s="47" t="n"/>
      <c r="AD3" s="47" t="n"/>
      <c r="AE3" s="47" t="n"/>
      <c r="AF3" s="47" t="n"/>
      <c r="AG3" s="47" t="n"/>
      <c r="AH3" s="47" t="n"/>
    </row>
    <row r="4">
      <c r="A4" s="42" t="n">
        <v>3</v>
      </c>
      <c r="B4" s="42" t="inlineStr">
        <is>
          <t>Non-Saleable</t>
        </is>
      </c>
      <c r="C4" s="43" t="n">
        <v>9</v>
      </c>
      <c r="D4" s="43" t="n">
        <v>90</v>
      </c>
      <c r="E4" s="43" t="n">
        <v>175</v>
      </c>
      <c r="F4" s="44">
        <f>E4*D4</f>
        <v/>
      </c>
      <c r="G4" s="45">
        <f>F4/$F$10</f>
        <v/>
      </c>
      <c r="H4" s="44">
        <f>F4*0.8</f>
        <v/>
      </c>
      <c r="I4" s="45">
        <f>H4/$H$10</f>
        <v/>
      </c>
      <c r="J4" s="44">
        <f>F4/K4*0.8</f>
        <v/>
      </c>
      <c r="K4" s="46" t="n">
        <v>51</v>
      </c>
      <c r="L4" s="47" t="inlineStr">
        <is>
          <t xml:space="preserve">Parking - EV Stations / ADA </t>
        </is>
      </c>
      <c r="M4" s="44">
        <f>K4+K3</f>
        <v/>
      </c>
      <c r="N4" s="44">
        <f>F4+F3</f>
        <v/>
      </c>
      <c r="O4" s="48" t="n">
        <v>300.06</v>
      </c>
      <c r="P4" s="48">
        <f>F4/K4*O4</f>
        <v/>
      </c>
      <c r="Q4" s="48">
        <f>P4*K4</f>
        <v/>
      </c>
      <c r="R4" s="48">
        <f>Q4*0.12</f>
        <v/>
      </c>
      <c r="S4" s="48" t="n"/>
      <c r="T4" s="48">
        <f>H4/K4*S4</f>
        <v/>
      </c>
      <c r="U4" s="48">
        <f>T4*K4</f>
        <v/>
      </c>
      <c r="V4" s="44" t="n"/>
      <c r="W4" s="44" t="n"/>
      <c r="X4" s="47" t="n"/>
      <c r="Y4" s="47" t="n"/>
      <c r="Z4" s="47" t="n"/>
      <c r="AA4" s="47" t="n"/>
      <c r="AB4" s="47" t="n"/>
      <c r="AC4" s="47" t="n"/>
      <c r="AD4" s="47" t="n"/>
      <c r="AE4" s="47" t="n"/>
      <c r="AF4" s="47" t="n"/>
      <c r="AG4" s="47" t="n"/>
      <c r="AH4" s="47" t="n"/>
    </row>
    <row r="5">
      <c r="A5" s="42" t="n">
        <v>4</v>
      </c>
      <c r="B5" s="42" t="inlineStr">
        <is>
          <t>Saleable</t>
        </is>
      </c>
      <c r="C5" s="43" t="n">
        <v>10</v>
      </c>
      <c r="D5" s="43" t="n">
        <v>90</v>
      </c>
      <c r="E5" s="43" t="n">
        <v>175</v>
      </c>
      <c r="F5" s="44">
        <f>E5*D5</f>
        <v/>
      </c>
      <c r="G5" s="45">
        <f>F5/$F$10</f>
        <v/>
      </c>
      <c r="H5" s="44">
        <f>F5*0.8</f>
        <v/>
      </c>
      <c r="I5" s="45">
        <f>H5/$H$10</f>
        <v/>
      </c>
      <c r="J5" s="44">
        <f>F5/K5*0.8</f>
        <v/>
      </c>
      <c r="K5" s="46" t="n">
        <v>16</v>
      </c>
      <c r="L5" s="47" t="inlineStr">
        <is>
          <t>Residential Hospitality 2 bed-1.5 bath</t>
        </is>
      </c>
      <c r="M5" s="44" t="n"/>
      <c r="N5" s="44" t="n"/>
      <c r="O5" s="48" t="n">
        <v>300.06</v>
      </c>
      <c r="P5" s="48">
        <f>F5/K5*O5</f>
        <v/>
      </c>
      <c r="Q5" s="48">
        <f>P5*K5</f>
        <v/>
      </c>
      <c r="R5" s="48">
        <f>Q5*0.12</f>
        <v/>
      </c>
      <c r="S5" s="48" t="n">
        <v>1200</v>
      </c>
      <c r="T5" s="48">
        <f>H5/K5*S5</f>
        <v/>
      </c>
      <c r="U5" s="48">
        <f>T5*K5</f>
        <v/>
      </c>
      <c r="V5" s="44" t="n"/>
      <c r="W5" s="44" t="n"/>
      <c r="X5" s="47" t="n"/>
      <c r="Y5" s="47" t="n"/>
      <c r="Z5" s="47" t="n"/>
      <c r="AA5" s="47" t="n"/>
      <c r="AB5" s="47" t="n"/>
      <c r="AC5" s="47" t="n"/>
      <c r="AD5" s="47" t="n"/>
      <c r="AE5" s="47" t="n"/>
      <c r="AF5" s="47" t="n"/>
      <c r="AG5" s="47" t="n"/>
      <c r="AH5" s="47" t="n"/>
    </row>
    <row r="6">
      <c r="A6" s="42" t="n">
        <v>5</v>
      </c>
      <c r="B6" s="42" t="inlineStr">
        <is>
          <t>Saleable</t>
        </is>
      </c>
      <c r="C6" s="43" t="n">
        <v>10</v>
      </c>
      <c r="D6" s="43" t="n">
        <v>90</v>
      </c>
      <c r="E6" s="43" t="n">
        <v>175</v>
      </c>
      <c r="F6" s="44">
        <f>E6*D6</f>
        <v/>
      </c>
      <c r="G6" s="45">
        <f>F6/$F$10</f>
        <v/>
      </c>
      <c r="H6" s="44">
        <f>F6*0.8</f>
        <v/>
      </c>
      <c r="I6" s="45">
        <f>H6/$H$10</f>
        <v/>
      </c>
      <c r="J6" s="44">
        <f>F6/K6*0.8</f>
        <v/>
      </c>
      <c r="K6" s="46" t="n">
        <v>16</v>
      </c>
      <c r="L6" s="47" t="inlineStr">
        <is>
          <t>Residential Hospitality 2 bed-1.5 bath</t>
        </is>
      </c>
      <c r="M6" s="44" t="n"/>
      <c r="N6" s="44" t="n"/>
      <c r="O6" s="48" t="n">
        <v>300.06</v>
      </c>
      <c r="P6" s="48">
        <f>F6/K6*O6</f>
        <v/>
      </c>
      <c r="Q6" s="48">
        <f>P6*K6</f>
        <v/>
      </c>
      <c r="R6" s="48">
        <f>Q6*0.12</f>
        <v/>
      </c>
      <c r="S6" s="48" t="n">
        <v>1200</v>
      </c>
      <c r="T6" s="48">
        <f>H6/K6*S6</f>
        <v/>
      </c>
      <c r="U6" s="48">
        <f>T6*K6</f>
        <v/>
      </c>
      <c r="V6" s="44" t="n"/>
      <c r="W6" s="44" t="n"/>
      <c r="X6" s="47" t="n"/>
      <c r="Y6" s="47" t="n"/>
      <c r="Z6" s="47" t="n"/>
      <c r="AA6" s="47" t="n"/>
      <c r="AB6" s="47" t="n"/>
      <c r="AC6" s="47" t="n"/>
      <c r="AD6" s="47" t="n"/>
      <c r="AE6" s="47" t="n"/>
      <c r="AF6" s="47" t="n"/>
      <c r="AG6" s="47" t="n"/>
      <c r="AH6" s="47" t="n"/>
    </row>
    <row r="7">
      <c r="A7" s="42" t="n">
        <v>6</v>
      </c>
      <c r="B7" s="42" t="inlineStr">
        <is>
          <t>Saleable</t>
        </is>
      </c>
      <c r="C7" s="43" t="n">
        <v>10</v>
      </c>
      <c r="D7" s="43" t="n">
        <v>70</v>
      </c>
      <c r="E7" s="43" t="n">
        <v>155</v>
      </c>
      <c r="F7" s="44">
        <f>E7*D7</f>
        <v/>
      </c>
      <c r="G7" s="45">
        <f>F7/$F$10</f>
        <v/>
      </c>
      <c r="H7" s="44">
        <f>F7*0.8</f>
        <v/>
      </c>
      <c r="I7" s="45">
        <f>H7/$H$10</f>
        <v/>
      </c>
      <c r="J7" s="44">
        <f>F7/K7*0.8</f>
        <v/>
      </c>
      <c r="K7" s="46" t="n">
        <v>10</v>
      </c>
      <c r="L7" s="47" t="inlineStr">
        <is>
          <t>Residential Hospitality 2 bed-1.5 bath</t>
        </is>
      </c>
      <c r="M7" s="44">
        <f>K7+K6+K5</f>
        <v/>
      </c>
      <c r="N7" s="44">
        <f>F7+F6+F5</f>
        <v/>
      </c>
      <c r="O7" s="48" t="n">
        <v>300.06</v>
      </c>
      <c r="P7" s="48">
        <f>F7/K7*O7</f>
        <v/>
      </c>
      <c r="Q7" s="48">
        <f>P7*K7</f>
        <v/>
      </c>
      <c r="R7" s="48">
        <f>Q7*0.12</f>
        <v/>
      </c>
      <c r="S7" s="48" t="n">
        <v>1200</v>
      </c>
      <c r="T7" s="48">
        <f>H7/K7*S7</f>
        <v/>
      </c>
      <c r="U7" s="48">
        <f>T7*K7</f>
        <v/>
      </c>
      <c r="V7" s="44" t="n"/>
      <c r="W7" s="44" t="n"/>
      <c r="X7" s="47" t="n"/>
      <c r="Y7" s="47" t="n"/>
      <c r="Z7" s="47" t="n"/>
      <c r="AA7" s="47" t="n"/>
      <c r="AB7" s="47" t="n"/>
      <c r="AC7" s="47" t="n"/>
      <c r="AD7" s="47" t="n"/>
      <c r="AE7" s="47" t="n"/>
      <c r="AF7" s="47" t="n"/>
      <c r="AG7" s="47" t="n"/>
      <c r="AH7" s="47" t="n"/>
    </row>
    <row r="8">
      <c r="A8" s="42" t="n">
        <v>7</v>
      </c>
      <c r="B8" s="42" t="inlineStr">
        <is>
          <t>Saleable</t>
        </is>
      </c>
      <c r="C8" s="43" t="n">
        <v>10</v>
      </c>
      <c r="D8" s="43" t="n">
        <v>70</v>
      </c>
      <c r="E8" s="43" t="n">
        <v>155</v>
      </c>
      <c r="F8" s="44">
        <f>E8*D8</f>
        <v/>
      </c>
      <c r="G8" s="45">
        <f>F8/$F$10</f>
        <v/>
      </c>
      <c r="H8" s="44">
        <f>F8*0.8</f>
        <v/>
      </c>
      <c r="I8" s="45">
        <f>H8/$H$10</f>
        <v/>
      </c>
      <c r="J8" s="44">
        <f>F8/K8*0.8</f>
        <v/>
      </c>
      <c r="K8" s="46" t="n">
        <v>8</v>
      </c>
      <c r="L8" s="47" t="inlineStr">
        <is>
          <t xml:space="preserve">Residential Condos 3 bed / 2 bath </t>
        </is>
      </c>
      <c r="M8" s="44">
        <f>K8</f>
        <v/>
      </c>
      <c r="N8" s="44">
        <f>F8</f>
        <v/>
      </c>
      <c r="O8" s="48" t="n">
        <v>300.06</v>
      </c>
      <c r="P8" s="48">
        <f>F8/K8*O8</f>
        <v/>
      </c>
      <c r="Q8" s="48">
        <f>P8*K8</f>
        <v/>
      </c>
      <c r="R8" s="48">
        <f>Q8*0.12</f>
        <v/>
      </c>
      <c r="S8" s="48" t="n">
        <v>1200</v>
      </c>
      <c r="T8" s="48">
        <f>H8/K8*S8</f>
        <v/>
      </c>
      <c r="U8" s="48">
        <f>T8*K8</f>
        <v/>
      </c>
      <c r="V8" s="44" t="n"/>
      <c r="W8" s="44" t="n"/>
      <c r="X8" s="47" t="n"/>
      <c r="Y8" s="47" t="n"/>
      <c r="Z8" s="47" t="n"/>
      <c r="AA8" s="47" t="n"/>
      <c r="AB8" s="47" t="n"/>
      <c r="AC8" s="47" t="n"/>
      <c r="AD8" s="47" t="n"/>
      <c r="AE8" s="47" t="n"/>
      <c r="AF8" s="47" t="n"/>
      <c r="AG8" s="47" t="n"/>
      <c r="AH8" s="47" t="n"/>
    </row>
    <row r="9">
      <c r="A9" s="42" t="inlineStr">
        <is>
          <t>roof top</t>
        </is>
      </c>
      <c r="B9" s="42" t="inlineStr">
        <is>
          <t>Non-Saleable</t>
        </is>
      </c>
      <c r="C9" s="43" t="n">
        <v>5</v>
      </c>
      <c r="D9" s="43" t="n">
        <v>70</v>
      </c>
      <c r="E9" s="43" t="n">
        <v>155</v>
      </c>
      <c r="F9" s="44">
        <f>E9*D9</f>
        <v/>
      </c>
      <c r="G9" s="45">
        <f>F9/$F$10</f>
        <v/>
      </c>
      <c r="H9" s="44">
        <f>F9*0.8</f>
        <v/>
      </c>
      <c r="I9" s="45">
        <f>H9/$H$10</f>
        <v/>
      </c>
      <c r="J9" s="44">
        <f>F9/K9*0.8</f>
        <v/>
      </c>
      <c r="K9" s="46" t="n">
        <v>1</v>
      </c>
      <c r="L9" s="47" t="inlineStr">
        <is>
          <t>Pool - Gym</t>
        </is>
      </c>
      <c r="M9" s="44">
        <f>K9</f>
        <v/>
      </c>
      <c r="N9" s="44">
        <f>F9</f>
        <v/>
      </c>
      <c r="O9" s="48" t="n">
        <v>300.06</v>
      </c>
      <c r="P9" s="48">
        <f>F9/K9*O9</f>
        <v/>
      </c>
      <c r="Q9" s="48">
        <f>P9*K9</f>
        <v/>
      </c>
      <c r="R9" s="48">
        <f>Q9*0.12</f>
        <v/>
      </c>
      <c r="S9" s="48" t="n"/>
      <c r="T9" s="48">
        <f>F9/K9*S9</f>
        <v/>
      </c>
      <c r="U9" s="48">
        <f>T9*K9</f>
        <v/>
      </c>
      <c r="V9" s="44" t="n"/>
      <c r="W9" s="47" t="n"/>
      <c r="X9" s="47" t="n"/>
      <c r="Y9" s="47" t="n"/>
      <c r="Z9" s="47" t="n"/>
      <c r="AA9" s="47" t="n"/>
      <c r="AB9" s="47" t="n"/>
      <c r="AC9" s="47" t="n"/>
      <c r="AD9" s="47" t="n"/>
      <c r="AE9" s="47" t="n"/>
      <c r="AF9" s="47" t="n"/>
      <c r="AG9" s="47" t="n"/>
      <c r="AH9" s="47" t="n"/>
    </row>
    <row r="10">
      <c r="A10" s="49" t="inlineStr">
        <is>
          <t>Total</t>
        </is>
      </c>
      <c r="B10" s="50" t="n"/>
      <c r="C10" s="50">
        <f>SUM(C2:C9)</f>
        <v/>
      </c>
      <c r="D10" s="51" t="n"/>
      <c r="E10" s="51" t="n"/>
      <c r="F10" s="52">
        <f>SUM(F2:F9)</f>
        <v/>
      </c>
      <c r="G10" s="45">
        <f>F10/$F$10</f>
        <v/>
      </c>
      <c r="H10" s="52">
        <f>F10*0.8</f>
        <v/>
      </c>
      <c r="I10" s="45">
        <f>H10/$H$10</f>
        <v/>
      </c>
      <c r="J10" s="52" t="n"/>
      <c r="K10" s="52" t="n"/>
      <c r="L10" s="53" t="n"/>
      <c r="M10" s="38" t="n"/>
      <c r="N10" s="54">
        <f>SUM(N2:N9)</f>
        <v/>
      </c>
      <c r="O10" s="38" t="n"/>
      <c r="P10" s="38" t="n"/>
      <c r="Q10" s="55">
        <f>SUM(Q2:Q9)</f>
        <v/>
      </c>
      <c r="R10" s="55">
        <f>Q10*0.12</f>
        <v/>
      </c>
      <c r="S10" s="38" t="n"/>
      <c r="T10" s="38" t="n"/>
      <c r="U10" s="55">
        <f>SUM(U2:U9)</f>
        <v/>
      </c>
      <c r="V10" s="56">
        <f>U10-Q10-R10</f>
        <v/>
      </c>
      <c r="W10" s="57">
        <f>(U10-Q10)/U10</f>
        <v/>
      </c>
      <c r="X10" s="51" t="n"/>
      <c r="Y10" s="51" t="n"/>
      <c r="Z10" s="51" t="n"/>
      <c r="AA10" s="51" t="n"/>
      <c r="AB10" s="51" t="n"/>
      <c r="AC10" s="51" t="n"/>
      <c r="AD10" s="51" t="n"/>
      <c r="AE10" s="51" t="n"/>
      <c r="AF10" s="51" t="n"/>
      <c r="AG10" s="51" t="n"/>
      <c r="AH10" s="51" t="n"/>
    </row>
    <row r="11">
      <c r="B11" s="58" t="n"/>
      <c r="C11" s="58" t="n"/>
      <c r="D11" s="59" t="n"/>
      <c r="E11" s="59" t="n"/>
      <c r="F11" s="58" t="n"/>
      <c r="G11" s="59" t="n"/>
      <c r="H11" s="59" t="n"/>
      <c r="I11" s="59" t="n"/>
      <c r="J11" s="59" t="n"/>
      <c r="K11" s="60" t="n"/>
      <c r="L11" s="53" t="n"/>
      <c r="M11" s="53" t="n"/>
      <c r="N11" s="53" t="n"/>
      <c r="O11" s="61" t="n"/>
      <c r="P11" s="61" t="n"/>
      <c r="Q11" s="61" t="n"/>
      <c r="R11" s="61" t="n"/>
      <c r="S11" s="61" t="n"/>
      <c r="T11" s="48" t="n"/>
      <c r="U11" s="61" t="n"/>
      <c r="V11" s="61" t="n"/>
      <c r="W11" s="61" t="n"/>
      <c r="X11" s="59" t="n"/>
      <c r="Y11" s="59" t="n"/>
      <c r="Z11" s="59" t="n"/>
      <c r="AA11" s="53" t="n"/>
      <c r="AB11" s="53" t="n"/>
      <c r="AC11" s="53" t="n"/>
      <c r="AD11" s="53" t="n"/>
      <c r="AE11" s="53" t="n"/>
      <c r="AF11" s="53" t="n"/>
      <c r="AG11" s="53" t="n"/>
      <c r="AH11" s="53" t="n"/>
    </row>
    <row r="12">
      <c r="A12" s="62" t="n"/>
      <c r="B12" s="58" t="n"/>
      <c r="C12" s="58" t="n"/>
      <c r="D12" s="59" t="n"/>
      <c r="E12" s="59" t="n"/>
      <c r="F12" s="58" t="n"/>
      <c r="G12" s="59" t="n"/>
      <c r="H12" s="59" t="n"/>
      <c r="I12" s="59" t="n"/>
      <c r="J12" s="59" t="n"/>
      <c r="K12" s="60" t="n"/>
      <c r="L12" s="53" t="n"/>
      <c r="M12" s="54" t="n"/>
      <c r="N12" s="54" t="n"/>
      <c r="O12" s="61" t="n"/>
      <c r="P12" s="61" t="n"/>
      <c r="Q12" s="61" t="n"/>
      <c r="R12" s="61" t="n"/>
      <c r="S12" s="61" t="n"/>
      <c r="T12" s="48" t="n"/>
      <c r="U12" s="61" t="n"/>
      <c r="V12" s="61" t="n"/>
      <c r="W12" s="61" t="n"/>
      <c r="X12" s="59" t="n"/>
      <c r="Y12" s="59" t="n"/>
      <c r="Z12" s="59" t="n"/>
      <c r="AA12" s="53" t="n"/>
      <c r="AB12" s="53" t="n"/>
      <c r="AC12" s="53" t="n"/>
      <c r="AD12" s="53" t="n"/>
      <c r="AE12" s="53" t="n"/>
      <c r="AF12" s="53" t="n"/>
      <c r="AG12" s="53" t="n"/>
      <c r="AH12" s="53" t="n"/>
    </row>
    <row r="13">
      <c r="A13" s="62" t="n"/>
      <c r="B13" s="59" t="n"/>
      <c r="C13" s="59" t="n"/>
      <c r="D13" s="59" t="n"/>
      <c r="E13" s="59" t="n"/>
      <c r="F13" s="53" t="n"/>
      <c r="G13" s="53" t="n"/>
      <c r="H13" s="53" t="n"/>
      <c r="I13" s="53" t="n"/>
      <c r="J13" s="53" t="n"/>
      <c r="K13" s="53" t="n"/>
      <c r="L13" s="53" t="n"/>
      <c r="M13" s="57" t="n"/>
      <c r="N13" s="57" t="n"/>
      <c r="O13" s="61" t="n"/>
      <c r="P13" s="61" t="n"/>
      <c r="Q13" s="61" t="n"/>
      <c r="R13" s="61" t="n"/>
      <c r="S13" s="61" t="n"/>
      <c r="T13" s="48" t="n"/>
      <c r="U13" s="61" t="n"/>
      <c r="V13" s="61" t="n"/>
      <c r="W13" s="61" t="n"/>
      <c r="X13" s="53" t="n"/>
      <c r="Y13" s="53" t="n"/>
      <c r="Z13" s="59" t="n"/>
      <c r="AA13" s="53" t="n"/>
      <c r="AB13" s="53" t="n"/>
      <c r="AC13" s="53" t="n"/>
      <c r="AD13" s="53" t="n"/>
      <c r="AE13" s="53" t="n"/>
      <c r="AF13" s="53" t="n"/>
      <c r="AG13" s="53" t="n"/>
      <c r="AH13" s="53" t="n"/>
    </row>
    <row r="14">
      <c r="A14" s="53" t="n"/>
      <c r="B14" s="59" t="n"/>
      <c r="C14" s="59" t="n"/>
      <c r="D14" s="53" t="n"/>
      <c r="E14" s="53" t="n"/>
      <c r="F14" s="53" t="n"/>
      <c r="G14" s="53" t="n"/>
      <c r="H14" s="53" t="n"/>
      <c r="I14" s="53" t="n"/>
      <c r="J14" s="53" t="n"/>
      <c r="K14" s="60" t="n"/>
      <c r="L14" s="58" t="n"/>
      <c r="M14" s="63" t="n"/>
      <c r="N14" s="63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1" t="n"/>
      <c r="X14" s="53" t="n"/>
      <c r="Y14" s="53" t="n"/>
      <c r="Z14" s="59" t="n"/>
      <c r="AA14" s="59" t="n"/>
      <c r="AB14" s="59" t="n"/>
      <c r="AC14" s="59" t="n"/>
      <c r="AD14" s="59" t="n"/>
      <c r="AE14" s="59" t="n"/>
      <c r="AF14" s="59" t="n"/>
      <c r="AG14" s="53" t="n"/>
      <c r="AH14" s="53" t="n"/>
    </row>
    <row r="15" ht="14.25" customHeight="1">
      <c r="A15" s="62" t="n"/>
      <c r="B15" s="59" t="n"/>
      <c r="C15" s="59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64" t="n"/>
      <c r="M15" s="65" t="n"/>
      <c r="N15" s="65" t="n"/>
      <c r="O15" s="61" t="n"/>
      <c r="P15" s="61" t="n"/>
      <c r="Q15" s="61" t="n"/>
      <c r="R15" s="61" t="n"/>
      <c r="S15" s="61" t="n"/>
      <c r="T15" s="61" t="n"/>
      <c r="U15" s="61" t="n"/>
      <c r="V15" s="61" t="n"/>
      <c r="W15" s="61" t="n"/>
      <c r="X15" s="59" t="n"/>
      <c r="Y15" s="59" t="n"/>
      <c r="Z15" s="59" t="n"/>
      <c r="AA15" s="59" t="n"/>
      <c r="AB15" s="59" t="n"/>
      <c r="AC15" s="59" t="n"/>
      <c r="AD15" s="59" t="n"/>
      <c r="AE15" s="59" t="n"/>
      <c r="AF15" s="59" t="n"/>
      <c r="AG15" s="59" t="n"/>
      <c r="AH15" s="59" t="n"/>
    </row>
    <row r="16">
      <c r="A16" s="62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66" t="n"/>
      <c r="X16" s="59" t="n"/>
      <c r="Y16" s="59" t="n"/>
      <c r="Z16" s="59" t="n"/>
      <c r="AA16" s="59" t="n"/>
      <c r="AB16" s="59" t="n"/>
      <c r="AC16" s="59" t="n"/>
      <c r="AD16" s="59" t="n"/>
      <c r="AE16" s="59" t="n"/>
      <c r="AF16" s="59" t="n"/>
      <c r="AG16" s="59" t="n"/>
      <c r="AH16" s="59" t="n"/>
    </row>
    <row r="17" ht="14.25" customHeight="1">
      <c r="A17" s="62" t="n"/>
      <c r="B17" s="59" t="n"/>
      <c r="C17" s="59" t="n"/>
      <c r="D17" s="59" t="n"/>
      <c r="E17" s="59" t="n"/>
      <c r="F17" s="59" t="n"/>
      <c r="G17" s="59" t="n"/>
      <c r="H17" s="59" t="n"/>
      <c r="I17" s="59" t="n"/>
      <c r="J17" s="59" t="n"/>
      <c r="K17" s="59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66" t="n"/>
      <c r="X17" s="59" t="n"/>
      <c r="Y17" s="59" t="n"/>
      <c r="Z17" s="59" t="n"/>
      <c r="AA17" s="59" t="n"/>
      <c r="AB17" s="59" t="n"/>
      <c r="AC17" s="59" t="n"/>
      <c r="AD17" s="59" t="n"/>
      <c r="AE17" s="59" t="n"/>
      <c r="AF17" s="59" t="n"/>
      <c r="AG17" s="59" t="n"/>
      <c r="AH17" s="59" t="n"/>
    </row>
    <row r="18" ht="14.25" customHeight="1">
      <c r="A18" s="62" t="n"/>
      <c r="B18" s="59" t="n"/>
      <c r="C18" s="59" t="n"/>
      <c r="D18" s="59" t="n"/>
      <c r="E18" s="59" t="n"/>
      <c r="F18" s="59" t="n"/>
      <c r="G18" s="59" t="n"/>
      <c r="H18" s="59" t="n"/>
      <c r="I18" s="59" t="n"/>
      <c r="J18" s="59" t="n"/>
      <c r="K18" s="59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66" t="n"/>
      <c r="X18" s="59" t="n"/>
      <c r="Y18" s="59" t="n"/>
      <c r="Z18" s="59" t="n"/>
      <c r="AA18" s="59" t="n"/>
      <c r="AB18" s="59" t="n"/>
      <c r="AC18" s="59" t="n"/>
      <c r="AD18" s="59" t="n"/>
      <c r="AE18" s="59" t="n"/>
      <c r="AF18" s="59" t="n"/>
      <c r="AG18" s="59" t="n"/>
      <c r="AH18" s="59" t="n"/>
    </row>
    <row r="19" ht="14.25" customHeight="1">
      <c r="A19" s="62" t="n"/>
      <c r="B19" s="59" t="n"/>
      <c r="C19" s="59" t="n"/>
      <c r="D19" s="59" t="n"/>
      <c r="E19" s="59" t="n"/>
      <c r="F19" s="59" t="n"/>
      <c r="G19" s="59" t="n"/>
      <c r="H19" s="59" t="n"/>
      <c r="I19" s="59" t="n"/>
      <c r="J19" s="59" t="n"/>
      <c r="K19" s="59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66" t="n"/>
      <c r="X19" s="59" t="n"/>
      <c r="Y19" s="59" t="n"/>
      <c r="Z19" s="59" t="n"/>
      <c r="AA19" s="59" t="n"/>
      <c r="AB19" s="59" t="n"/>
      <c r="AC19" s="59" t="n"/>
      <c r="AD19" s="59" t="n"/>
      <c r="AE19" s="59" t="n"/>
      <c r="AF19" s="59" t="n"/>
      <c r="AG19" s="59" t="n"/>
      <c r="AH19" s="59" t="n"/>
    </row>
    <row r="20" ht="14.25" customHeight="1">
      <c r="A20" s="62" t="n"/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59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66" t="n"/>
      <c r="X20" s="59" t="n"/>
      <c r="Y20" s="59" t="n"/>
      <c r="Z20" s="59" t="n"/>
      <c r="AA20" s="59" t="n"/>
      <c r="AB20" s="59" t="n"/>
      <c r="AC20" s="59" t="n"/>
      <c r="AD20" s="59" t="n"/>
      <c r="AE20" s="59" t="n"/>
      <c r="AF20" s="59" t="n"/>
      <c r="AG20" s="59" t="n"/>
      <c r="AH20" s="59" t="n"/>
    </row>
    <row r="21" ht="14.25" customHeight="1">
      <c r="A21" s="62" t="n"/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59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66" t="n"/>
      <c r="X21" s="59" t="n"/>
      <c r="Y21" s="59" t="n"/>
      <c r="Z21" s="59" t="n"/>
      <c r="AA21" s="59" t="n"/>
      <c r="AB21" s="59" t="n"/>
      <c r="AC21" s="59" t="n"/>
      <c r="AD21" s="59" t="n"/>
      <c r="AE21" s="59" t="n"/>
      <c r="AF21" s="59" t="n"/>
      <c r="AG21" s="59" t="n"/>
      <c r="AH21" s="59" t="n"/>
    </row>
    <row r="22" ht="14.25" customHeight="1">
      <c r="A22" s="62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66" t="n"/>
      <c r="X22" s="59" t="n"/>
      <c r="Y22" s="59" t="n"/>
      <c r="Z22" s="59" t="n"/>
      <c r="AA22" s="59" t="n"/>
      <c r="AB22" s="59" t="n"/>
      <c r="AC22" s="59" t="n"/>
      <c r="AD22" s="59" t="n"/>
      <c r="AE22" s="59" t="n"/>
      <c r="AF22" s="59" t="n"/>
      <c r="AG22" s="59" t="n"/>
      <c r="AH22" s="59" t="n"/>
    </row>
    <row r="23" ht="14.25" customHeight="1">
      <c r="A23" s="62" t="n"/>
      <c r="B23" s="59" t="n"/>
      <c r="C23" s="59" t="n"/>
      <c r="D23" s="59" t="n"/>
      <c r="E23" s="59" t="n"/>
      <c r="F23" s="59" t="n"/>
      <c r="G23" s="59" t="n"/>
      <c r="H23" s="59" t="n"/>
      <c r="I23" s="59" t="n"/>
      <c r="J23" s="59" t="n"/>
      <c r="K23" s="59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66" t="n"/>
      <c r="X23" s="59" t="n"/>
      <c r="Y23" s="59" t="n"/>
      <c r="Z23" s="59" t="n"/>
      <c r="AA23" s="59" t="n"/>
      <c r="AB23" s="59" t="n"/>
      <c r="AC23" s="59" t="n"/>
      <c r="AD23" s="59" t="n"/>
      <c r="AE23" s="59" t="n"/>
      <c r="AF23" s="59" t="n"/>
      <c r="AG23" s="59" t="n"/>
      <c r="AH23" s="59" t="n"/>
    </row>
    <row r="24" ht="14.25" customHeight="1">
      <c r="A24" s="62" t="n"/>
      <c r="B24" s="59" t="n"/>
      <c r="C24" s="59" t="n"/>
      <c r="D24" s="59" t="n"/>
      <c r="E24" s="59" t="n"/>
      <c r="F24" s="59" t="n"/>
      <c r="G24" s="59" t="n"/>
      <c r="H24" s="59" t="n"/>
      <c r="I24" s="59" t="n"/>
      <c r="J24" s="59" t="n"/>
      <c r="K24" s="59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66" t="n"/>
      <c r="X24" s="59" t="n"/>
      <c r="Y24" s="59" t="n"/>
      <c r="Z24" s="59" t="n"/>
      <c r="AA24" s="59" t="n"/>
      <c r="AB24" s="59" t="n"/>
      <c r="AC24" s="59" t="n"/>
      <c r="AD24" s="59" t="n"/>
      <c r="AE24" s="59" t="n"/>
      <c r="AF24" s="59" t="n"/>
      <c r="AG24" s="59" t="n"/>
      <c r="AH24" s="59" t="n"/>
    </row>
    <row r="25" ht="14.25" customHeight="1">
      <c r="A25" s="62" t="n"/>
      <c r="B25" s="59" t="n"/>
      <c r="C25" s="59" t="n"/>
      <c r="D25" s="59" t="n"/>
      <c r="E25" s="59" t="n"/>
      <c r="F25" s="59" t="n"/>
      <c r="G25" s="59" t="n"/>
      <c r="H25" s="59" t="n"/>
      <c r="I25" s="59" t="n"/>
      <c r="J25" s="59" t="n"/>
      <c r="K25" s="59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66" t="n"/>
      <c r="X25" s="59" t="n"/>
      <c r="Y25" s="59" t="n"/>
      <c r="Z25" s="59" t="n"/>
      <c r="AA25" s="59" t="n"/>
      <c r="AB25" s="59" t="n"/>
      <c r="AC25" s="59" t="n"/>
      <c r="AD25" s="59" t="n"/>
      <c r="AE25" s="59" t="n"/>
      <c r="AF25" s="59" t="n"/>
      <c r="AG25" s="59" t="n"/>
      <c r="AH25" s="59" t="n"/>
    </row>
    <row r="26" ht="14.25" customHeight="1">
      <c r="A26" s="62" t="n"/>
      <c r="B26" s="59" t="n"/>
      <c r="C26" s="59" t="n"/>
      <c r="D26" s="59" t="n"/>
      <c r="E26" s="59" t="n"/>
      <c r="F26" s="59" t="n"/>
      <c r="G26" s="59" t="n"/>
      <c r="H26" s="59" t="n"/>
      <c r="I26" s="59" t="n"/>
      <c r="J26" s="59" t="n"/>
      <c r="K26" s="59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66" t="n"/>
      <c r="X26" s="59" t="n"/>
      <c r="Y26" s="59" t="n"/>
      <c r="Z26" s="59" t="n"/>
      <c r="AA26" s="59" t="n"/>
      <c r="AB26" s="59" t="n"/>
      <c r="AC26" s="59" t="n"/>
      <c r="AD26" s="59" t="n"/>
      <c r="AE26" s="59" t="n"/>
      <c r="AF26" s="59" t="n"/>
      <c r="AG26" s="59" t="n"/>
      <c r="AH26" s="59" t="n"/>
    </row>
    <row r="27" ht="14.25" customHeight="1">
      <c r="A27" s="62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66" t="n"/>
      <c r="X27" s="59" t="n"/>
      <c r="Y27" s="59" t="n"/>
      <c r="Z27" s="59" t="n"/>
      <c r="AA27" s="59" t="n"/>
      <c r="AB27" s="59" t="n"/>
      <c r="AC27" s="59" t="n"/>
      <c r="AD27" s="59" t="n"/>
      <c r="AE27" s="59" t="n"/>
      <c r="AF27" s="59" t="n"/>
      <c r="AG27" s="59" t="n"/>
      <c r="AH27" s="59" t="n"/>
    </row>
    <row r="28" ht="14.25" customHeight="1">
      <c r="A28" s="62" t="n"/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66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</row>
    <row r="29" ht="14.25" customHeight="1">
      <c r="A29" s="62" t="n"/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59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66" t="n"/>
      <c r="X29" s="59" t="n"/>
      <c r="Y29" s="59" t="n"/>
      <c r="Z29" s="59" t="n"/>
      <c r="AA29" s="59" t="n"/>
      <c r="AB29" s="59" t="n"/>
      <c r="AC29" s="59" t="n"/>
      <c r="AD29" s="59" t="n"/>
      <c r="AE29" s="59" t="n"/>
      <c r="AF29" s="59" t="n"/>
      <c r="AG29" s="59" t="n"/>
      <c r="AH29" s="59" t="n"/>
    </row>
    <row r="30" ht="14.25" customHeight="1">
      <c r="A30" s="62" t="n"/>
      <c r="B30" s="59" t="n"/>
      <c r="C30" s="59" t="n"/>
      <c r="D30" s="59" t="n"/>
      <c r="E30" s="59" t="n"/>
      <c r="F30" s="59" t="n"/>
      <c r="G30" s="59" t="n"/>
      <c r="H30" s="59" t="n"/>
      <c r="I30" s="59" t="n"/>
      <c r="J30" s="59" t="n"/>
      <c r="K30" s="59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66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</row>
    <row r="31" ht="14.25" customHeight="1">
      <c r="A31" s="62" t="n"/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66" t="n"/>
      <c r="R31" s="66" t="n"/>
      <c r="S31" s="66" t="n"/>
      <c r="T31" s="59" t="n"/>
      <c r="U31" s="59" t="n"/>
      <c r="V31" s="59" t="n"/>
      <c r="W31" s="66" t="n"/>
      <c r="X31" s="59" t="n"/>
      <c r="Y31" s="59" t="n"/>
      <c r="Z31" s="59" t="n"/>
      <c r="AA31" s="59" t="n"/>
      <c r="AB31" s="59" t="n"/>
      <c r="AC31" s="59" t="n"/>
      <c r="AD31" s="59" t="n"/>
      <c r="AE31" s="59" t="n"/>
      <c r="AF31" s="59" t="n"/>
      <c r="AG31" s="59" t="n"/>
      <c r="AH31" s="59" t="n"/>
    </row>
    <row r="32" ht="14.25" customHeight="1">
      <c r="A32" s="62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66" t="n"/>
      <c r="R32" s="66" t="n"/>
      <c r="S32" s="66" t="n"/>
      <c r="T32" s="59" t="n"/>
      <c r="U32" s="59" t="n"/>
      <c r="V32" s="59" t="n"/>
      <c r="W32" s="66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</row>
    <row r="33" ht="14.25" customHeight="1">
      <c r="A33" s="62" t="n"/>
      <c r="B33" s="59" t="n"/>
      <c r="C33" s="59" t="n"/>
      <c r="D33" s="59" t="n"/>
      <c r="E33" s="59" t="n"/>
      <c r="F33" s="59" t="n"/>
      <c r="G33" s="59" t="n"/>
      <c r="H33" s="59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66" t="n"/>
      <c r="R33" s="66" t="n"/>
      <c r="S33" s="66" t="n"/>
      <c r="T33" s="59" t="n"/>
      <c r="U33" s="59" t="n"/>
      <c r="V33" s="59" t="n"/>
      <c r="W33" s="66" t="n"/>
      <c r="X33" s="59" t="n"/>
      <c r="Y33" s="59" t="n"/>
      <c r="Z33" s="59" t="n"/>
      <c r="AA33" s="59" t="n"/>
      <c r="AB33" s="59" t="n"/>
      <c r="AC33" s="59" t="n"/>
      <c r="AD33" s="59" t="n"/>
      <c r="AE33" s="59" t="n"/>
      <c r="AF33" s="59" t="n"/>
      <c r="AG33" s="59" t="n"/>
      <c r="AH33" s="59" t="n"/>
    </row>
    <row r="34" ht="14.25" customHeight="1">
      <c r="A34" s="62" t="n"/>
      <c r="B34" s="59" t="n"/>
      <c r="C34" s="59" t="n"/>
      <c r="D34" s="59" t="n"/>
      <c r="E34" s="59" t="n"/>
      <c r="F34" s="5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66" t="n"/>
      <c r="R34" s="66" t="n"/>
      <c r="S34" s="66" t="n"/>
      <c r="T34" s="59" t="n"/>
      <c r="U34" s="59" t="n"/>
      <c r="V34" s="59" t="n"/>
      <c r="W34" s="66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</row>
    <row r="35" ht="14.25" customHeight="1">
      <c r="A35" s="62" t="n"/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66" t="n"/>
      <c r="R35" s="66" t="n"/>
      <c r="S35" s="66" t="n"/>
      <c r="T35" s="59" t="n"/>
      <c r="U35" s="59" t="n"/>
      <c r="V35" s="59" t="n"/>
      <c r="W35" s="66" t="n"/>
      <c r="X35" s="59" t="n"/>
      <c r="Y35" s="59" t="n"/>
      <c r="Z35" s="59" t="n"/>
      <c r="AA35" s="59" t="n"/>
      <c r="AB35" s="59" t="n"/>
      <c r="AC35" s="59" t="n"/>
      <c r="AD35" s="59" t="n"/>
      <c r="AE35" s="59" t="n"/>
      <c r="AF35" s="59" t="n"/>
      <c r="AG35" s="59" t="n"/>
      <c r="AH35" s="59" t="n"/>
    </row>
    <row r="36" ht="14.25" customHeight="1">
      <c r="A36" s="62" t="n"/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66" t="n"/>
      <c r="R36" s="66" t="n"/>
      <c r="S36" s="66" t="n"/>
      <c r="T36" s="59" t="n"/>
      <c r="U36" s="59" t="n"/>
      <c r="V36" s="59" t="n"/>
      <c r="W36" s="66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</row>
    <row r="37" ht="14.25" customHeight="1">
      <c r="A37" s="62" t="n"/>
      <c r="B37" s="59" t="n"/>
      <c r="C37" s="59" t="n"/>
      <c r="D37" s="59" t="n"/>
      <c r="E37" s="59" t="n"/>
      <c r="F37" s="59" t="n"/>
      <c r="G37" s="59" t="n"/>
      <c r="H37" s="59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66" t="n"/>
      <c r="R37" s="66" t="n"/>
      <c r="S37" s="66" t="n"/>
      <c r="T37" s="59" t="n"/>
      <c r="U37" s="59" t="n"/>
      <c r="V37" s="59" t="n"/>
      <c r="W37" s="66" t="n"/>
      <c r="X37" s="59" t="n"/>
      <c r="Y37" s="59" t="n"/>
      <c r="Z37" s="59" t="n"/>
      <c r="AA37" s="59" t="n"/>
      <c r="AB37" s="59" t="n"/>
      <c r="AC37" s="59" t="n"/>
      <c r="AD37" s="59" t="n"/>
      <c r="AE37" s="59" t="n"/>
      <c r="AF37" s="59" t="n"/>
      <c r="AG37" s="59" t="n"/>
      <c r="AH37" s="59" t="n"/>
    </row>
    <row r="38" ht="14.25" customHeight="1">
      <c r="A38" s="62" t="n"/>
      <c r="B38" s="59" t="n"/>
      <c r="C38" s="59" t="n"/>
      <c r="D38" s="59" t="n"/>
      <c r="E38" s="59" t="n"/>
      <c r="F38" s="5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66" t="n"/>
      <c r="R38" s="66" t="n"/>
      <c r="S38" s="66" t="n"/>
      <c r="T38" s="59" t="n"/>
      <c r="U38" s="59" t="n"/>
      <c r="V38" s="59" t="n"/>
      <c r="W38" s="66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</row>
    <row r="39" ht="14.25" customHeight="1">
      <c r="A39" s="62" t="n"/>
      <c r="B39" s="59" t="n"/>
      <c r="C39" s="59" t="n"/>
      <c r="D39" s="59" t="n"/>
      <c r="E39" s="59" t="n"/>
      <c r="F39" s="59" t="n"/>
      <c r="G39" s="59" t="n"/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66" t="n"/>
      <c r="R39" s="66" t="n"/>
      <c r="S39" s="66" t="n"/>
      <c r="T39" s="59" t="n"/>
      <c r="U39" s="59" t="n"/>
      <c r="V39" s="59" t="n"/>
      <c r="W39" s="66" t="n"/>
      <c r="X39" s="59" t="n"/>
      <c r="Y39" s="59" t="n"/>
      <c r="Z39" s="59" t="n"/>
      <c r="AA39" s="59" t="n"/>
      <c r="AB39" s="59" t="n"/>
      <c r="AC39" s="59" t="n"/>
      <c r="AD39" s="59" t="n"/>
      <c r="AE39" s="59" t="n"/>
      <c r="AF39" s="59" t="n"/>
      <c r="AG39" s="59" t="n"/>
      <c r="AH39" s="59" t="n"/>
    </row>
    <row r="40" ht="14.25" customHeight="1">
      <c r="A40" s="62" t="n"/>
      <c r="B40" s="59" t="n"/>
      <c r="C40" s="59" t="n"/>
      <c r="D40" s="59" t="n"/>
      <c r="E40" s="59" t="n"/>
      <c r="F40" s="5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66" t="n"/>
      <c r="R40" s="66" t="n"/>
      <c r="S40" s="66" t="n"/>
      <c r="T40" s="59" t="n"/>
      <c r="U40" s="59" t="n"/>
      <c r="V40" s="59" t="n"/>
      <c r="W40" s="66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</row>
    <row r="41" ht="14.25" customHeight="1">
      <c r="A41" s="62" t="n"/>
      <c r="B41" s="59" t="n"/>
      <c r="C41" s="59" t="n"/>
      <c r="D41" s="59" t="n"/>
      <c r="E41" s="59" t="n"/>
      <c r="F41" s="59" t="n"/>
      <c r="G41" s="59" t="n"/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66" t="n"/>
      <c r="R41" s="66" t="n"/>
      <c r="S41" s="66" t="n"/>
      <c r="T41" s="59" t="n"/>
      <c r="U41" s="59" t="n"/>
      <c r="V41" s="59" t="n"/>
      <c r="W41" s="66" t="n"/>
      <c r="X41" s="59" t="n"/>
      <c r="Y41" s="59" t="n"/>
      <c r="Z41" s="59" t="n"/>
      <c r="AA41" s="59" t="n"/>
      <c r="AB41" s="59" t="n"/>
      <c r="AC41" s="59" t="n"/>
      <c r="AD41" s="59" t="n"/>
      <c r="AE41" s="59" t="n"/>
      <c r="AF41" s="59" t="n"/>
      <c r="AG41" s="59" t="n"/>
      <c r="AH41" s="59" t="n"/>
    </row>
    <row r="42" ht="14.25" customHeight="1">
      <c r="A42" s="62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66" t="n"/>
      <c r="R42" s="66" t="n"/>
      <c r="S42" s="66" t="n"/>
      <c r="T42" s="59" t="n"/>
      <c r="U42" s="59" t="n"/>
      <c r="V42" s="59" t="n"/>
      <c r="W42" s="66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</row>
    <row r="43" ht="14.25" customHeight="1">
      <c r="A43" s="62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66" t="n"/>
      <c r="R43" s="66" t="n"/>
      <c r="S43" s="66" t="n"/>
      <c r="T43" s="59" t="n"/>
      <c r="U43" s="59" t="n"/>
      <c r="V43" s="59" t="n"/>
      <c r="W43" s="66" t="n"/>
      <c r="X43" s="59" t="n"/>
      <c r="Y43" s="59" t="n"/>
      <c r="Z43" s="59" t="n"/>
      <c r="AA43" s="59" t="n"/>
      <c r="AB43" s="59" t="n"/>
      <c r="AC43" s="59" t="n"/>
      <c r="AD43" s="59" t="n"/>
      <c r="AE43" s="59" t="n"/>
      <c r="AF43" s="59" t="n"/>
      <c r="AG43" s="59" t="n"/>
      <c r="AH43" s="59" t="n"/>
    </row>
    <row r="44" ht="14.25" customHeight="1">
      <c r="A44" s="62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66" t="n"/>
      <c r="R44" s="66" t="n"/>
      <c r="S44" s="66" t="n"/>
      <c r="T44" s="59" t="n"/>
      <c r="U44" s="59" t="n"/>
      <c r="V44" s="59" t="n"/>
      <c r="W44" s="66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</row>
    <row r="45" ht="14.25" customHeight="1">
      <c r="A45" s="62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66" t="n"/>
      <c r="R45" s="66" t="n"/>
      <c r="S45" s="66" t="n"/>
      <c r="T45" s="59" t="n"/>
      <c r="U45" s="59" t="n"/>
      <c r="V45" s="59" t="n"/>
      <c r="W45" s="66" t="n"/>
      <c r="X45" s="59" t="n"/>
      <c r="Y45" s="59" t="n"/>
      <c r="Z45" s="59" t="n"/>
      <c r="AA45" s="59" t="n"/>
      <c r="AB45" s="59" t="n"/>
      <c r="AC45" s="59" t="n"/>
      <c r="AD45" s="59" t="n"/>
      <c r="AE45" s="59" t="n"/>
      <c r="AF45" s="59" t="n"/>
      <c r="AG45" s="59" t="n"/>
      <c r="AH45" s="59" t="n"/>
    </row>
    <row r="46" ht="14.25" customHeight="1">
      <c r="A46" s="62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66" t="n"/>
      <c r="R46" s="66" t="n"/>
      <c r="S46" s="66" t="n"/>
      <c r="T46" s="59" t="n"/>
      <c r="U46" s="59" t="n"/>
      <c r="V46" s="59" t="n"/>
      <c r="W46" s="66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</row>
    <row r="47" ht="14.25" customHeight="1">
      <c r="A47" s="62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66" t="n"/>
      <c r="R47" s="66" t="n"/>
      <c r="S47" s="66" t="n"/>
      <c r="T47" s="59" t="n"/>
      <c r="U47" s="59" t="n"/>
      <c r="V47" s="59" t="n"/>
      <c r="W47" s="66" t="n"/>
      <c r="X47" s="59" t="n"/>
      <c r="Y47" s="59" t="n"/>
      <c r="Z47" s="59" t="n"/>
      <c r="AA47" s="59" t="n"/>
      <c r="AB47" s="59" t="n"/>
      <c r="AC47" s="59" t="n"/>
      <c r="AD47" s="59" t="n"/>
      <c r="AE47" s="59" t="n"/>
      <c r="AF47" s="59" t="n"/>
      <c r="AG47" s="59" t="n"/>
      <c r="AH47" s="59" t="n"/>
    </row>
    <row r="48" ht="14.25" customHeight="1">
      <c r="A48" s="62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66" t="n"/>
      <c r="R48" s="66" t="n"/>
      <c r="S48" s="66" t="n"/>
      <c r="T48" s="59" t="n"/>
      <c r="U48" s="59" t="n"/>
      <c r="V48" s="59" t="n"/>
      <c r="W48" s="66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</row>
    <row r="49" ht="14.25" customHeight="1">
      <c r="A49" s="62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66" t="n"/>
      <c r="R49" s="66" t="n"/>
      <c r="S49" s="66" t="n"/>
      <c r="T49" s="59" t="n"/>
      <c r="U49" s="59" t="n"/>
      <c r="V49" s="59" t="n"/>
      <c r="W49" s="66" t="n"/>
      <c r="X49" s="59" t="n"/>
      <c r="Y49" s="59" t="n"/>
      <c r="Z49" s="59" t="n"/>
      <c r="AA49" s="59" t="n"/>
      <c r="AB49" s="59" t="n"/>
      <c r="AC49" s="59" t="n"/>
      <c r="AD49" s="59" t="n"/>
      <c r="AE49" s="59" t="n"/>
      <c r="AF49" s="59" t="n"/>
      <c r="AG49" s="59" t="n"/>
      <c r="AH49" s="59" t="n"/>
    </row>
    <row r="50" ht="14.25" customHeight="1">
      <c r="A50" s="62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66" t="n"/>
      <c r="R50" s="66" t="n"/>
      <c r="S50" s="66" t="n"/>
      <c r="T50" s="59" t="n"/>
      <c r="U50" s="59" t="n"/>
      <c r="V50" s="59" t="n"/>
      <c r="W50" s="66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</row>
    <row r="51" ht="14.25" customHeight="1">
      <c r="A51" s="62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66" t="n"/>
      <c r="R51" s="66" t="n"/>
      <c r="S51" s="66" t="n"/>
      <c r="T51" s="59" t="n"/>
      <c r="U51" s="59" t="n"/>
      <c r="V51" s="59" t="n"/>
      <c r="W51" s="66" t="n"/>
      <c r="X51" s="59" t="n"/>
      <c r="Y51" s="59" t="n"/>
      <c r="Z51" s="59" t="n"/>
      <c r="AA51" s="59" t="n"/>
      <c r="AB51" s="59" t="n"/>
      <c r="AC51" s="59" t="n"/>
      <c r="AD51" s="59" t="n"/>
      <c r="AE51" s="59" t="n"/>
      <c r="AF51" s="59" t="n"/>
      <c r="AG51" s="59" t="n"/>
      <c r="AH51" s="59" t="n"/>
    </row>
    <row r="52" ht="14.25" customHeight="1">
      <c r="A52" s="62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66" t="n"/>
      <c r="R52" s="66" t="n"/>
      <c r="S52" s="66" t="n"/>
      <c r="T52" s="59" t="n"/>
      <c r="U52" s="59" t="n"/>
      <c r="V52" s="59" t="n"/>
      <c r="W52" s="66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</row>
    <row r="53" ht="14.25" customHeight="1">
      <c r="A53" s="62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66" t="n"/>
      <c r="R53" s="66" t="n"/>
      <c r="S53" s="66" t="n"/>
      <c r="T53" s="59" t="n"/>
      <c r="U53" s="59" t="n"/>
      <c r="V53" s="59" t="n"/>
      <c r="W53" s="66" t="n"/>
      <c r="X53" s="59" t="n"/>
      <c r="Y53" s="59" t="n"/>
      <c r="Z53" s="59" t="n"/>
      <c r="AA53" s="59" t="n"/>
      <c r="AB53" s="59" t="n"/>
      <c r="AC53" s="59" t="n"/>
      <c r="AD53" s="59" t="n"/>
      <c r="AE53" s="59" t="n"/>
      <c r="AF53" s="59" t="n"/>
      <c r="AG53" s="59" t="n"/>
      <c r="AH53" s="59" t="n"/>
    </row>
    <row r="54" ht="14.25" customHeight="1">
      <c r="A54" s="62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66" t="n"/>
      <c r="R54" s="66" t="n"/>
      <c r="S54" s="66" t="n"/>
      <c r="T54" s="59" t="n"/>
      <c r="U54" s="59" t="n"/>
      <c r="V54" s="59" t="n"/>
      <c r="W54" s="66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</row>
    <row r="55" ht="14.25" customHeight="1">
      <c r="A55" s="62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66" t="n"/>
      <c r="R55" s="66" t="n"/>
      <c r="S55" s="66" t="n"/>
      <c r="T55" s="59" t="n"/>
      <c r="U55" s="59" t="n"/>
      <c r="V55" s="59" t="n"/>
      <c r="W55" s="66" t="n"/>
      <c r="X55" s="59" t="n"/>
      <c r="Y55" s="59" t="n"/>
      <c r="Z55" s="59" t="n"/>
      <c r="AA55" s="59" t="n"/>
      <c r="AB55" s="59" t="n"/>
      <c r="AC55" s="59" t="n"/>
      <c r="AD55" s="59" t="n"/>
      <c r="AE55" s="59" t="n"/>
      <c r="AF55" s="59" t="n"/>
      <c r="AG55" s="59" t="n"/>
      <c r="AH55" s="59" t="n"/>
    </row>
    <row r="56" ht="14.25" customHeight="1">
      <c r="A56" s="62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66" t="n"/>
      <c r="R56" s="66" t="n"/>
      <c r="S56" s="66" t="n"/>
      <c r="T56" s="59" t="n"/>
      <c r="U56" s="59" t="n"/>
      <c r="V56" s="59" t="n"/>
      <c r="W56" s="66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</row>
    <row r="57" ht="14.25" customHeight="1">
      <c r="A57" s="62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66" t="n"/>
      <c r="R57" s="66" t="n"/>
      <c r="S57" s="66" t="n"/>
      <c r="T57" s="59" t="n"/>
      <c r="U57" s="59" t="n"/>
      <c r="V57" s="59" t="n"/>
      <c r="W57" s="66" t="n"/>
      <c r="X57" s="59" t="n"/>
      <c r="Y57" s="59" t="n"/>
      <c r="Z57" s="59" t="n"/>
      <c r="AA57" s="59" t="n"/>
      <c r="AB57" s="59" t="n"/>
      <c r="AC57" s="59" t="n"/>
      <c r="AD57" s="59" t="n"/>
      <c r="AE57" s="59" t="n"/>
      <c r="AF57" s="59" t="n"/>
      <c r="AG57" s="59" t="n"/>
      <c r="AH57" s="59" t="n"/>
    </row>
    <row r="58" ht="14.25" customHeight="1">
      <c r="A58" s="62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66" t="n"/>
      <c r="R58" s="66" t="n"/>
      <c r="S58" s="66" t="n"/>
      <c r="T58" s="59" t="n"/>
      <c r="U58" s="59" t="n"/>
      <c r="V58" s="59" t="n"/>
      <c r="W58" s="66" t="n"/>
      <c r="X58" s="59" t="n"/>
      <c r="Y58" s="59" t="n"/>
      <c r="Z58" s="59" t="n"/>
      <c r="AA58" s="59" t="n"/>
      <c r="AB58" s="59" t="n"/>
      <c r="AC58" s="59" t="n"/>
      <c r="AD58" s="59" t="n"/>
      <c r="AE58" s="59" t="n"/>
      <c r="AF58" s="59" t="n"/>
      <c r="AG58" s="59" t="n"/>
      <c r="AH58" s="59" t="n"/>
    </row>
    <row r="59" ht="14.25" customHeight="1">
      <c r="A59" s="62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66" t="n"/>
      <c r="R59" s="66" t="n"/>
      <c r="S59" s="66" t="n"/>
      <c r="T59" s="59" t="n"/>
      <c r="U59" s="59" t="n"/>
      <c r="V59" s="59" t="n"/>
      <c r="W59" s="66" t="n"/>
      <c r="X59" s="59" t="n"/>
      <c r="Y59" s="59" t="n"/>
      <c r="Z59" s="59" t="n"/>
      <c r="AA59" s="59" t="n"/>
      <c r="AB59" s="59" t="n"/>
      <c r="AC59" s="59" t="n"/>
      <c r="AD59" s="59" t="n"/>
      <c r="AE59" s="59" t="n"/>
      <c r="AF59" s="59" t="n"/>
      <c r="AG59" s="59" t="n"/>
      <c r="AH59" s="59" t="n"/>
    </row>
    <row r="60" ht="14.25" customHeight="1">
      <c r="A60" s="62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66" t="n"/>
      <c r="R60" s="66" t="n"/>
      <c r="S60" s="66" t="n"/>
      <c r="T60" s="59" t="n"/>
      <c r="U60" s="59" t="n"/>
      <c r="V60" s="59" t="n"/>
      <c r="W60" s="66" t="n"/>
      <c r="X60" s="59" t="n"/>
      <c r="Y60" s="59" t="n"/>
      <c r="Z60" s="59" t="n"/>
      <c r="AA60" s="59" t="n"/>
      <c r="AB60" s="59" t="n"/>
      <c r="AC60" s="59" t="n"/>
      <c r="AD60" s="59" t="n"/>
      <c r="AE60" s="59" t="n"/>
      <c r="AF60" s="59" t="n"/>
      <c r="AG60" s="59" t="n"/>
      <c r="AH60" s="59" t="n"/>
    </row>
    <row r="61" ht="14.25" customHeight="1">
      <c r="A61" s="62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66" t="n"/>
      <c r="R61" s="66" t="n"/>
      <c r="S61" s="66" t="n"/>
      <c r="T61" s="59" t="n"/>
      <c r="U61" s="59" t="n"/>
      <c r="V61" s="59" t="n"/>
      <c r="W61" s="66" t="n"/>
      <c r="X61" s="59" t="n"/>
      <c r="Y61" s="59" t="n"/>
      <c r="Z61" s="59" t="n"/>
      <c r="AA61" s="59" t="n"/>
      <c r="AB61" s="59" t="n"/>
      <c r="AC61" s="59" t="n"/>
      <c r="AD61" s="59" t="n"/>
      <c r="AE61" s="59" t="n"/>
      <c r="AF61" s="59" t="n"/>
      <c r="AG61" s="59" t="n"/>
      <c r="AH61" s="59" t="n"/>
    </row>
    <row r="62" ht="14.25" customHeight="1">
      <c r="A62" s="62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66" t="n"/>
      <c r="R62" s="66" t="n"/>
      <c r="S62" s="66" t="n"/>
      <c r="T62" s="59" t="n"/>
      <c r="U62" s="59" t="n"/>
      <c r="V62" s="59" t="n"/>
      <c r="W62" s="66" t="n"/>
      <c r="X62" s="59" t="n"/>
      <c r="Y62" s="59" t="n"/>
      <c r="Z62" s="59" t="n"/>
      <c r="AA62" s="59" t="n"/>
      <c r="AB62" s="59" t="n"/>
      <c r="AC62" s="59" t="n"/>
      <c r="AD62" s="59" t="n"/>
      <c r="AE62" s="59" t="n"/>
      <c r="AF62" s="59" t="n"/>
      <c r="AG62" s="59" t="n"/>
      <c r="AH62" s="59" t="n"/>
    </row>
    <row r="63" ht="14.25" customHeight="1">
      <c r="A63" s="62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66" t="n"/>
      <c r="R63" s="66" t="n"/>
      <c r="S63" s="66" t="n"/>
      <c r="T63" s="59" t="n"/>
      <c r="U63" s="59" t="n"/>
      <c r="V63" s="59" t="n"/>
      <c r="W63" s="66" t="n"/>
      <c r="X63" s="59" t="n"/>
      <c r="Y63" s="59" t="n"/>
      <c r="Z63" s="59" t="n"/>
      <c r="AA63" s="59" t="n"/>
      <c r="AB63" s="59" t="n"/>
      <c r="AC63" s="59" t="n"/>
      <c r="AD63" s="59" t="n"/>
      <c r="AE63" s="59" t="n"/>
      <c r="AF63" s="59" t="n"/>
      <c r="AG63" s="59" t="n"/>
      <c r="AH63" s="59" t="n"/>
    </row>
    <row r="64" ht="14.25" customHeight="1">
      <c r="A64" s="62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66" t="n"/>
      <c r="R64" s="66" t="n"/>
      <c r="S64" s="66" t="n"/>
      <c r="T64" s="59" t="n"/>
      <c r="U64" s="59" t="n"/>
      <c r="V64" s="59" t="n"/>
      <c r="W64" s="66" t="n"/>
      <c r="X64" s="59" t="n"/>
      <c r="Y64" s="59" t="n"/>
      <c r="Z64" s="59" t="n"/>
      <c r="AA64" s="59" t="n"/>
      <c r="AB64" s="59" t="n"/>
      <c r="AC64" s="59" t="n"/>
      <c r="AD64" s="59" t="n"/>
      <c r="AE64" s="59" t="n"/>
      <c r="AF64" s="59" t="n"/>
      <c r="AG64" s="59" t="n"/>
      <c r="AH64" s="59" t="n"/>
    </row>
    <row r="65" ht="14.25" customHeight="1">
      <c r="A65" s="62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66" t="n"/>
      <c r="R65" s="66" t="n"/>
      <c r="S65" s="66" t="n"/>
      <c r="T65" s="59" t="n"/>
      <c r="U65" s="59" t="n"/>
      <c r="V65" s="59" t="n"/>
      <c r="W65" s="66" t="n"/>
      <c r="X65" s="59" t="n"/>
      <c r="Y65" s="59" t="n"/>
      <c r="Z65" s="59" t="n"/>
      <c r="AA65" s="59" t="n"/>
      <c r="AB65" s="59" t="n"/>
      <c r="AC65" s="59" t="n"/>
      <c r="AD65" s="59" t="n"/>
      <c r="AE65" s="59" t="n"/>
      <c r="AF65" s="59" t="n"/>
      <c r="AG65" s="59" t="n"/>
      <c r="AH65" s="59" t="n"/>
    </row>
    <row r="66" ht="14.25" customHeight="1">
      <c r="A66" s="62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66" t="n"/>
      <c r="R66" s="66" t="n"/>
      <c r="S66" s="66" t="n"/>
      <c r="T66" s="59" t="n"/>
      <c r="U66" s="59" t="n"/>
      <c r="V66" s="59" t="n"/>
      <c r="W66" s="66" t="n"/>
      <c r="X66" s="59" t="n"/>
      <c r="Y66" s="59" t="n"/>
      <c r="Z66" s="59" t="n"/>
      <c r="AA66" s="59" t="n"/>
      <c r="AB66" s="59" t="n"/>
      <c r="AC66" s="59" t="n"/>
      <c r="AD66" s="59" t="n"/>
      <c r="AE66" s="59" t="n"/>
      <c r="AF66" s="59" t="n"/>
      <c r="AG66" s="59" t="n"/>
      <c r="AH66" s="59" t="n"/>
    </row>
    <row r="67" ht="14.25" customHeight="1">
      <c r="A67" s="62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66" t="n"/>
      <c r="R67" s="66" t="n"/>
      <c r="S67" s="66" t="n"/>
      <c r="T67" s="59" t="n"/>
      <c r="U67" s="59" t="n"/>
      <c r="V67" s="59" t="n"/>
      <c r="W67" s="66" t="n"/>
      <c r="X67" s="59" t="n"/>
      <c r="Y67" s="59" t="n"/>
      <c r="Z67" s="59" t="n"/>
      <c r="AA67" s="59" t="n"/>
      <c r="AB67" s="59" t="n"/>
      <c r="AC67" s="59" t="n"/>
      <c r="AD67" s="59" t="n"/>
      <c r="AE67" s="59" t="n"/>
      <c r="AF67" s="59" t="n"/>
      <c r="AG67" s="59" t="n"/>
      <c r="AH67" s="59" t="n"/>
    </row>
    <row r="68" ht="14.25" customHeight="1">
      <c r="A68" s="62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66" t="n"/>
      <c r="R68" s="66" t="n"/>
      <c r="S68" s="66" t="n"/>
      <c r="T68" s="59" t="n"/>
      <c r="U68" s="59" t="n"/>
      <c r="V68" s="59" t="n"/>
      <c r="W68" s="66" t="n"/>
      <c r="X68" s="59" t="n"/>
      <c r="Y68" s="59" t="n"/>
      <c r="Z68" s="59" t="n"/>
      <c r="AA68" s="59" t="n"/>
      <c r="AB68" s="59" t="n"/>
      <c r="AC68" s="59" t="n"/>
      <c r="AD68" s="59" t="n"/>
      <c r="AE68" s="59" t="n"/>
      <c r="AF68" s="59" t="n"/>
      <c r="AG68" s="59" t="n"/>
      <c r="AH68" s="59" t="n"/>
    </row>
    <row r="69" ht="14.25" customHeight="1">
      <c r="A69" s="62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66" t="n"/>
      <c r="R69" s="66" t="n"/>
      <c r="S69" s="66" t="n"/>
      <c r="T69" s="59" t="n"/>
      <c r="U69" s="59" t="n"/>
      <c r="V69" s="59" t="n"/>
      <c r="W69" s="66" t="n"/>
      <c r="X69" s="59" t="n"/>
      <c r="Y69" s="59" t="n"/>
      <c r="Z69" s="59" t="n"/>
      <c r="AA69" s="59" t="n"/>
      <c r="AB69" s="59" t="n"/>
      <c r="AC69" s="59" t="n"/>
      <c r="AD69" s="59" t="n"/>
      <c r="AE69" s="59" t="n"/>
      <c r="AF69" s="59" t="n"/>
      <c r="AG69" s="59" t="n"/>
      <c r="AH69" s="59" t="n"/>
    </row>
    <row r="70" ht="14.25" customHeight="1">
      <c r="A70" s="62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66" t="n"/>
      <c r="R70" s="66" t="n"/>
      <c r="S70" s="66" t="n"/>
      <c r="T70" s="59" t="n"/>
      <c r="U70" s="59" t="n"/>
      <c r="V70" s="59" t="n"/>
      <c r="W70" s="66" t="n"/>
      <c r="X70" s="59" t="n"/>
      <c r="Y70" s="59" t="n"/>
      <c r="Z70" s="59" t="n"/>
      <c r="AA70" s="59" t="n"/>
      <c r="AB70" s="59" t="n"/>
      <c r="AC70" s="59" t="n"/>
      <c r="AD70" s="59" t="n"/>
      <c r="AE70" s="59" t="n"/>
      <c r="AF70" s="59" t="n"/>
      <c r="AG70" s="59" t="n"/>
      <c r="AH70" s="59" t="n"/>
    </row>
    <row r="71" ht="14.25" customHeight="1">
      <c r="A71" s="62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66" t="n"/>
      <c r="R71" s="66" t="n"/>
      <c r="S71" s="66" t="n"/>
      <c r="T71" s="59" t="n"/>
      <c r="U71" s="59" t="n"/>
      <c r="V71" s="59" t="n"/>
      <c r="W71" s="66" t="n"/>
      <c r="X71" s="59" t="n"/>
      <c r="Y71" s="59" t="n"/>
      <c r="Z71" s="59" t="n"/>
      <c r="AA71" s="59" t="n"/>
      <c r="AB71" s="59" t="n"/>
      <c r="AC71" s="59" t="n"/>
      <c r="AD71" s="59" t="n"/>
      <c r="AE71" s="59" t="n"/>
      <c r="AF71" s="59" t="n"/>
      <c r="AG71" s="59" t="n"/>
      <c r="AH71" s="59" t="n"/>
    </row>
    <row r="72" ht="14.25" customHeight="1">
      <c r="A72" s="62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66" t="n"/>
      <c r="R72" s="66" t="n"/>
      <c r="S72" s="66" t="n"/>
      <c r="T72" s="59" t="n"/>
      <c r="U72" s="59" t="n"/>
      <c r="V72" s="59" t="n"/>
      <c r="W72" s="66" t="n"/>
      <c r="X72" s="59" t="n"/>
      <c r="Y72" s="59" t="n"/>
      <c r="Z72" s="59" t="n"/>
      <c r="AA72" s="59" t="n"/>
      <c r="AB72" s="59" t="n"/>
      <c r="AC72" s="59" t="n"/>
      <c r="AD72" s="59" t="n"/>
      <c r="AE72" s="59" t="n"/>
      <c r="AF72" s="59" t="n"/>
      <c r="AG72" s="59" t="n"/>
      <c r="AH72" s="59" t="n"/>
    </row>
    <row r="73" ht="14.25" customHeight="1">
      <c r="A73" s="62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66" t="n"/>
      <c r="R73" s="66" t="n"/>
      <c r="S73" s="66" t="n"/>
      <c r="T73" s="59" t="n"/>
      <c r="U73" s="59" t="n"/>
      <c r="V73" s="59" t="n"/>
      <c r="W73" s="66" t="n"/>
      <c r="X73" s="59" t="n"/>
      <c r="Y73" s="59" t="n"/>
      <c r="Z73" s="59" t="n"/>
      <c r="AA73" s="59" t="n"/>
      <c r="AB73" s="59" t="n"/>
      <c r="AC73" s="59" t="n"/>
      <c r="AD73" s="59" t="n"/>
      <c r="AE73" s="59" t="n"/>
      <c r="AF73" s="59" t="n"/>
      <c r="AG73" s="59" t="n"/>
      <c r="AH73" s="59" t="n"/>
    </row>
    <row r="74" ht="14.25" customHeight="1">
      <c r="A74" s="62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66" t="n"/>
      <c r="R74" s="66" t="n"/>
      <c r="S74" s="66" t="n"/>
      <c r="T74" s="59" t="n"/>
      <c r="U74" s="59" t="n"/>
      <c r="V74" s="59" t="n"/>
      <c r="W74" s="66" t="n"/>
      <c r="X74" s="59" t="n"/>
      <c r="Y74" s="59" t="n"/>
      <c r="Z74" s="59" t="n"/>
      <c r="AA74" s="59" t="n"/>
      <c r="AB74" s="59" t="n"/>
      <c r="AC74" s="59" t="n"/>
      <c r="AD74" s="59" t="n"/>
      <c r="AE74" s="59" t="n"/>
      <c r="AF74" s="59" t="n"/>
      <c r="AG74" s="59" t="n"/>
      <c r="AH74" s="59" t="n"/>
    </row>
    <row r="75" ht="14.25" customHeight="1">
      <c r="A75" s="62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66" t="n"/>
      <c r="R75" s="66" t="n"/>
      <c r="S75" s="66" t="n"/>
      <c r="T75" s="59" t="n"/>
      <c r="U75" s="59" t="n"/>
      <c r="V75" s="59" t="n"/>
      <c r="W75" s="66" t="n"/>
      <c r="X75" s="59" t="n"/>
      <c r="Y75" s="59" t="n"/>
      <c r="Z75" s="59" t="n"/>
      <c r="AA75" s="59" t="n"/>
      <c r="AB75" s="59" t="n"/>
      <c r="AC75" s="59" t="n"/>
      <c r="AD75" s="59" t="n"/>
      <c r="AE75" s="59" t="n"/>
      <c r="AF75" s="59" t="n"/>
      <c r="AG75" s="59" t="n"/>
      <c r="AH75" s="59" t="n"/>
    </row>
    <row r="76" ht="14.25" customHeight="1">
      <c r="A76" s="62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66" t="n"/>
      <c r="R76" s="66" t="n"/>
      <c r="S76" s="66" t="n"/>
      <c r="T76" s="59" t="n"/>
      <c r="U76" s="59" t="n"/>
      <c r="V76" s="59" t="n"/>
      <c r="W76" s="66" t="n"/>
      <c r="X76" s="59" t="n"/>
      <c r="Y76" s="59" t="n"/>
      <c r="Z76" s="59" t="n"/>
      <c r="AA76" s="59" t="n"/>
      <c r="AB76" s="59" t="n"/>
      <c r="AC76" s="59" t="n"/>
      <c r="AD76" s="59" t="n"/>
      <c r="AE76" s="59" t="n"/>
      <c r="AF76" s="59" t="n"/>
      <c r="AG76" s="59" t="n"/>
      <c r="AH76" s="59" t="n"/>
    </row>
    <row r="77" ht="14.25" customHeight="1">
      <c r="A77" s="62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66" t="n"/>
      <c r="R77" s="66" t="n"/>
      <c r="S77" s="66" t="n"/>
      <c r="T77" s="59" t="n"/>
      <c r="U77" s="59" t="n"/>
      <c r="V77" s="59" t="n"/>
      <c r="W77" s="66" t="n"/>
      <c r="X77" s="59" t="n"/>
      <c r="Y77" s="59" t="n"/>
      <c r="Z77" s="59" t="n"/>
      <c r="AA77" s="59" t="n"/>
      <c r="AB77" s="59" t="n"/>
      <c r="AC77" s="59" t="n"/>
      <c r="AD77" s="59" t="n"/>
      <c r="AE77" s="59" t="n"/>
      <c r="AF77" s="59" t="n"/>
      <c r="AG77" s="59" t="n"/>
      <c r="AH77" s="59" t="n"/>
    </row>
    <row r="78" ht="14.25" customHeight="1">
      <c r="A78" s="62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66" t="n"/>
      <c r="R78" s="66" t="n"/>
      <c r="S78" s="66" t="n"/>
      <c r="T78" s="59" t="n"/>
      <c r="U78" s="59" t="n"/>
      <c r="V78" s="59" t="n"/>
      <c r="W78" s="66" t="n"/>
      <c r="X78" s="59" t="n"/>
      <c r="Y78" s="59" t="n"/>
      <c r="Z78" s="59" t="n"/>
      <c r="AA78" s="59" t="n"/>
      <c r="AB78" s="59" t="n"/>
      <c r="AC78" s="59" t="n"/>
      <c r="AD78" s="59" t="n"/>
      <c r="AE78" s="59" t="n"/>
      <c r="AF78" s="59" t="n"/>
      <c r="AG78" s="59" t="n"/>
      <c r="AH78" s="59" t="n"/>
    </row>
    <row r="79" ht="14.25" customHeight="1">
      <c r="A79" s="62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66" t="n"/>
      <c r="R79" s="66" t="n"/>
      <c r="S79" s="66" t="n"/>
      <c r="T79" s="59" t="n"/>
      <c r="U79" s="59" t="n"/>
      <c r="V79" s="59" t="n"/>
      <c r="W79" s="66" t="n"/>
      <c r="X79" s="59" t="n"/>
      <c r="Y79" s="59" t="n"/>
      <c r="Z79" s="59" t="n"/>
      <c r="AA79" s="59" t="n"/>
      <c r="AB79" s="59" t="n"/>
      <c r="AC79" s="59" t="n"/>
      <c r="AD79" s="59" t="n"/>
      <c r="AE79" s="59" t="n"/>
      <c r="AF79" s="59" t="n"/>
      <c r="AG79" s="59" t="n"/>
      <c r="AH79" s="59" t="n"/>
    </row>
    <row r="80" ht="14.25" customHeight="1">
      <c r="A80" s="62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66" t="n"/>
      <c r="R80" s="66" t="n"/>
      <c r="S80" s="66" t="n"/>
      <c r="T80" s="59" t="n"/>
      <c r="U80" s="59" t="n"/>
      <c r="V80" s="59" t="n"/>
      <c r="W80" s="66" t="n"/>
      <c r="X80" s="59" t="n"/>
      <c r="Y80" s="59" t="n"/>
      <c r="Z80" s="59" t="n"/>
      <c r="AA80" s="59" t="n"/>
      <c r="AB80" s="59" t="n"/>
      <c r="AC80" s="59" t="n"/>
      <c r="AD80" s="59" t="n"/>
      <c r="AE80" s="59" t="n"/>
      <c r="AF80" s="59" t="n"/>
      <c r="AG80" s="59" t="n"/>
      <c r="AH80" s="59" t="n"/>
    </row>
    <row r="81" ht="14.25" customHeight="1">
      <c r="A81" s="62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66" t="n"/>
      <c r="R81" s="66" t="n"/>
      <c r="S81" s="66" t="n"/>
      <c r="T81" s="59" t="n"/>
      <c r="U81" s="59" t="n"/>
      <c r="V81" s="59" t="n"/>
      <c r="W81" s="66" t="n"/>
      <c r="X81" s="59" t="n"/>
      <c r="Y81" s="59" t="n"/>
      <c r="Z81" s="59" t="n"/>
      <c r="AA81" s="59" t="n"/>
      <c r="AB81" s="59" t="n"/>
      <c r="AC81" s="59" t="n"/>
      <c r="AD81" s="59" t="n"/>
      <c r="AE81" s="59" t="n"/>
      <c r="AF81" s="59" t="n"/>
      <c r="AG81" s="59" t="n"/>
      <c r="AH81" s="59" t="n"/>
    </row>
    <row r="82" ht="14.25" customHeight="1">
      <c r="A82" s="62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66" t="n"/>
      <c r="R82" s="66" t="n"/>
      <c r="S82" s="66" t="n"/>
      <c r="T82" s="59" t="n"/>
      <c r="U82" s="59" t="n"/>
      <c r="V82" s="59" t="n"/>
      <c r="W82" s="66" t="n"/>
      <c r="X82" s="59" t="n"/>
      <c r="Y82" s="59" t="n"/>
      <c r="Z82" s="59" t="n"/>
      <c r="AA82" s="59" t="n"/>
      <c r="AB82" s="59" t="n"/>
      <c r="AC82" s="59" t="n"/>
      <c r="AD82" s="59" t="n"/>
      <c r="AE82" s="59" t="n"/>
      <c r="AF82" s="59" t="n"/>
      <c r="AG82" s="59" t="n"/>
      <c r="AH82" s="59" t="n"/>
    </row>
    <row r="83" ht="14.25" customHeight="1">
      <c r="A83" s="62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66" t="n"/>
      <c r="R83" s="66" t="n"/>
      <c r="S83" s="66" t="n"/>
      <c r="T83" s="59" t="n"/>
      <c r="U83" s="59" t="n"/>
      <c r="V83" s="59" t="n"/>
      <c r="W83" s="66" t="n"/>
      <c r="X83" s="59" t="n"/>
      <c r="Y83" s="59" t="n"/>
      <c r="Z83" s="59" t="n"/>
      <c r="AA83" s="59" t="n"/>
      <c r="AB83" s="59" t="n"/>
      <c r="AC83" s="59" t="n"/>
      <c r="AD83" s="59" t="n"/>
      <c r="AE83" s="59" t="n"/>
      <c r="AF83" s="59" t="n"/>
      <c r="AG83" s="59" t="n"/>
      <c r="AH83" s="59" t="n"/>
    </row>
    <row r="84" ht="14.25" customHeight="1">
      <c r="A84" s="62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66" t="n"/>
      <c r="R84" s="66" t="n"/>
      <c r="S84" s="66" t="n"/>
      <c r="T84" s="59" t="n"/>
      <c r="U84" s="59" t="n"/>
      <c r="V84" s="59" t="n"/>
      <c r="W84" s="66" t="n"/>
      <c r="X84" s="59" t="n"/>
      <c r="Y84" s="59" t="n"/>
      <c r="Z84" s="59" t="n"/>
      <c r="AA84" s="59" t="n"/>
      <c r="AB84" s="59" t="n"/>
      <c r="AC84" s="59" t="n"/>
      <c r="AD84" s="59" t="n"/>
      <c r="AE84" s="59" t="n"/>
      <c r="AF84" s="59" t="n"/>
      <c r="AG84" s="59" t="n"/>
      <c r="AH84" s="59" t="n"/>
    </row>
    <row r="85" ht="14.25" customHeight="1">
      <c r="A85" s="62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66" t="n"/>
      <c r="R85" s="66" t="n"/>
      <c r="S85" s="66" t="n"/>
      <c r="T85" s="59" t="n"/>
      <c r="U85" s="59" t="n"/>
      <c r="V85" s="59" t="n"/>
      <c r="W85" s="66" t="n"/>
      <c r="X85" s="59" t="n"/>
      <c r="Y85" s="59" t="n"/>
      <c r="Z85" s="59" t="n"/>
      <c r="AA85" s="59" t="n"/>
      <c r="AB85" s="59" t="n"/>
      <c r="AC85" s="59" t="n"/>
      <c r="AD85" s="59" t="n"/>
      <c r="AE85" s="59" t="n"/>
      <c r="AF85" s="59" t="n"/>
      <c r="AG85" s="59" t="n"/>
      <c r="AH85" s="59" t="n"/>
    </row>
    <row r="86" ht="14.25" customHeight="1">
      <c r="A86" s="62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66" t="n"/>
      <c r="R86" s="66" t="n"/>
      <c r="S86" s="66" t="n"/>
      <c r="T86" s="59" t="n"/>
      <c r="U86" s="59" t="n"/>
      <c r="V86" s="59" t="n"/>
      <c r="W86" s="66" t="n"/>
      <c r="X86" s="59" t="n"/>
      <c r="Y86" s="59" t="n"/>
      <c r="Z86" s="59" t="n"/>
      <c r="AA86" s="59" t="n"/>
      <c r="AB86" s="59" t="n"/>
      <c r="AC86" s="59" t="n"/>
      <c r="AD86" s="59" t="n"/>
      <c r="AE86" s="59" t="n"/>
      <c r="AF86" s="59" t="n"/>
      <c r="AG86" s="59" t="n"/>
      <c r="AH86" s="59" t="n"/>
    </row>
    <row r="87" ht="14.25" customHeight="1">
      <c r="A87" s="62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66" t="n"/>
      <c r="R87" s="66" t="n"/>
      <c r="S87" s="66" t="n"/>
      <c r="T87" s="59" t="n"/>
      <c r="U87" s="59" t="n"/>
      <c r="V87" s="59" t="n"/>
      <c r="W87" s="66" t="n"/>
      <c r="X87" s="59" t="n"/>
      <c r="Y87" s="59" t="n"/>
      <c r="Z87" s="59" t="n"/>
      <c r="AA87" s="59" t="n"/>
      <c r="AB87" s="59" t="n"/>
      <c r="AC87" s="59" t="n"/>
      <c r="AD87" s="59" t="n"/>
      <c r="AE87" s="59" t="n"/>
      <c r="AF87" s="59" t="n"/>
      <c r="AG87" s="59" t="n"/>
      <c r="AH87" s="59" t="n"/>
    </row>
    <row r="88" ht="14.25" customHeight="1">
      <c r="A88" s="62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66" t="n"/>
      <c r="R88" s="66" t="n"/>
      <c r="S88" s="66" t="n"/>
      <c r="T88" s="59" t="n"/>
      <c r="U88" s="59" t="n"/>
      <c r="V88" s="59" t="n"/>
      <c r="W88" s="66" t="n"/>
      <c r="X88" s="59" t="n"/>
      <c r="Y88" s="59" t="n"/>
      <c r="Z88" s="59" t="n"/>
      <c r="AA88" s="59" t="n"/>
      <c r="AB88" s="59" t="n"/>
      <c r="AC88" s="59" t="n"/>
      <c r="AD88" s="59" t="n"/>
      <c r="AE88" s="59" t="n"/>
      <c r="AF88" s="59" t="n"/>
      <c r="AG88" s="59" t="n"/>
      <c r="AH88" s="59" t="n"/>
    </row>
    <row r="89" ht="14.25" customHeight="1">
      <c r="A89" s="62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66" t="n"/>
      <c r="R89" s="66" t="n"/>
      <c r="S89" s="66" t="n"/>
      <c r="T89" s="59" t="n"/>
      <c r="U89" s="59" t="n"/>
      <c r="V89" s="59" t="n"/>
      <c r="W89" s="66" t="n"/>
      <c r="X89" s="59" t="n"/>
      <c r="Y89" s="59" t="n"/>
      <c r="Z89" s="59" t="n"/>
      <c r="AA89" s="59" t="n"/>
      <c r="AB89" s="59" t="n"/>
      <c r="AC89" s="59" t="n"/>
      <c r="AD89" s="59" t="n"/>
      <c r="AE89" s="59" t="n"/>
      <c r="AF89" s="59" t="n"/>
      <c r="AG89" s="59" t="n"/>
      <c r="AH89" s="59" t="n"/>
    </row>
    <row r="90" ht="14.25" customHeight="1">
      <c r="A90" s="62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66" t="n"/>
      <c r="R90" s="66" t="n"/>
      <c r="S90" s="66" t="n"/>
      <c r="T90" s="59" t="n"/>
      <c r="U90" s="59" t="n"/>
      <c r="V90" s="59" t="n"/>
      <c r="W90" s="66" t="n"/>
      <c r="X90" s="59" t="n"/>
      <c r="Y90" s="59" t="n"/>
      <c r="Z90" s="59" t="n"/>
      <c r="AA90" s="59" t="n"/>
      <c r="AB90" s="59" t="n"/>
      <c r="AC90" s="59" t="n"/>
      <c r="AD90" s="59" t="n"/>
      <c r="AE90" s="59" t="n"/>
      <c r="AF90" s="59" t="n"/>
      <c r="AG90" s="59" t="n"/>
      <c r="AH90" s="59" t="n"/>
    </row>
    <row r="91" ht="14.25" customHeight="1">
      <c r="A91" s="62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66" t="n"/>
      <c r="R91" s="66" t="n"/>
      <c r="S91" s="66" t="n"/>
      <c r="T91" s="59" t="n"/>
      <c r="U91" s="59" t="n"/>
      <c r="V91" s="59" t="n"/>
      <c r="W91" s="66" t="n"/>
      <c r="X91" s="59" t="n"/>
      <c r="Y91" s="59" t="n"/>
      <c r="Z91" s="59" t="n"/>
      <c r="AA91" s="59" t="n"/>
      <c r="AB91" s="59" t="n"/>
      <c r="AC91" s="59" t="n"/>
      <c r="AD91" s="59" t="n"/>
      <c r="AE91" s="59" t="n"/>
      <c r="AF91" s="59" t="n"/>
      <c r="AG91" s="59" t="n"/>
      <c r="AH91" s="59" t="n"/>
    </row>
    <row r="92" ht="14.25" customHeight="1">
      <c r="A92" s="62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66" t="n"/>
      <c r="R92" s="66" t="n"/>
      <c r="S92" s="66" t="n"/>
      <c r="T92" s="59" t="n"/>
      <c r="U92" s="59" t="n"/>
      <c r="V92" s="59" t="n"/>
      <c r="W92" s="66" t="n"/>
      <c r="X92" s="59" t="n"/>
      <c r="Y92" s="59" t="n"/>
      <c r="Z92" s="59" t="n"/>
      <c r="AA92" s="59" t="n"/>
      <c r="AB92" s="59" t="n"/>
      <c r="AC92" s="59" t="n"/>
      <c r="AD92" s="59" t="n"/>
      <c r="AE92" s="59" t="n"/>
      <c r="AF92" s="59" t="n"/>
      <c r="AG92" s="59" t="n"/>
      <c r="AH92" s="59" t="n"/>
    </row>
    <row r="93" ht="14.25" customHeight="1">
      <c r="A93" s="62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66" t="n"/>
      <c r="R93" s="66" t="n"/>
      <c r="S93" s="66" t="n"/>
      <c r="T93" s="59" t="n"/>
      <c r="U93" s="59" t="n"/>
      <c r="V93" s="59" t="n"/>
      <c r="W93" s="66" t="n"/>
      <c r="X93" s="59" t="n"/>
      <c r="Y93" s="59" t="n"/>
      <c r="Z93" s="59" t="n"/>
      <c r="AA93" s="59" t="n"/>
      <c r="AB93" s="59" t="n"/>
      <c r="AC93" s="59" t="n"/>
      <c r="AD93" s="59" t="n"/>
      <c r="AE93" s="59" t="n"/>
      <c r="AF93" s="59" t="n"/>
      <c r="AG93" s="59" t="n"/>
      <c r="AH93" s="59" t="n"/>
    </row>
    <row r="94" ht="14.25" customHeight="1">
      <c r="A94" s="62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66" t="n"/>
      <c r="R94" s="66" t="n"/>
      <c r="S94" s="66" t="n"/>
      <c r="T94" s="59" t="n"/>
      <c r="U94" s="59" t="n"/>
      <c r="V94" s="59" t="n"/>
      <c r="W94" s="66" t="n"/>
      <c r="X94" s="59" t="n"/>
      <c r="Y94" s="59" t="n"/>
      <c r="Z94" s="59" t="n"/>
      <c r="AA94" s="59" t="n"/>
      <c r="AB94" s="59" t="n"/>
      <c r="AC94" s="59" t="n"/>
      <c r="AD94" s="59" t="n"/>
      <c r="AE94" s="59" t="n"/>
      <c r="AF94" s="59" t="n"/>
      <c r="AG94" s="59" t="n"/>
      <c r="AH94" s="59" t="n"/>
    </row>
    <row r="95" ht="14.25" customHeight="1">
      <c r="A95" s="62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66" t="n"/>
      <c r="R95" s="66" t="n"/>
      <c r="S95" s="66" t="n"/>
      <c r="T95" s="59" t="n"/>
      <c r="U95" s="59" t="n"/>
      <c r="V95" s="59" t="n"/>
      <c r="W95" s="66" t="n"/>
      <c r="X95" s="59" t="n"/>
      <c r="Y95" s="59" t="n"/>
      <c r="Z95" s="59" t="n"/>
      <c r="AA95" s="59" t="n"/>
      <c r="AB95" s="59" t="n"/>
      <c r="AC95" s="59" t="n"/>
      <c r="AD95" s="59" t="n"/>
      <c r="AE95" s="59" t="n"/>
      <c r="AF95" s="59" t="n"/>
      <c r="AG95" s="59" t="n"/>
      <c r="AH95" s="59" t="n"/>
    </row>
    <row r="96" ht="14.25" customHeight="1">
      <c r="A96" s="62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66" t="n"/>
      <c r="R96" s="66" t="n"/>
      <c r="S96" s="66" t="n"/>
      <c r="T96" s="59" t="n"/>
      <c r="U96" s="59" t="n"/>
      <c r="V96" s="59" t="n"/>
      <c r="W96" s="66" t="n"/>
      <c r="X96" s="59" t="n"/>
      <c r="Y96" s="59" t="n"/>
      <c r="Z96" s="59" t="n"/>
      <c r="AA96" s="59" t="n"/>
      <c r="AB96" s="59" t="n"/>
      <c r="AC96" s="59" t="n"/>
      <c r="AD96" s="59" t="n"/>
      <c r="AE96" s="59" t="n"/>
      <c r="AF96" s="59" t="n"/>
      <c r="AG96" s="59" t="n"/>
      <c r="AH96" s="59" t="n"/>
    </row>
    <row r="97" ht="14.25" customHeight="1">
      <c r="A97" s="62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66" t="n"/>
      <c r="R97" s="66" t="n"/>
      <c r="S97" s="66" t="n"/>
      <c r="T97" s="59" t="n"/>
      <c r="U97" s="59" t="n"/>
      <c r="V97" s="59" t="n"/>
      <c r="W97" s="66" t="n"/>
      <c r="X97" s="59" t="n"/>
      <c r="Y97" s="59" t="n"/>
      <c r="Z97" s="59" t="n"/>
      <c r="AA97" s="59" t="n"/>
      <c r="AB97" s="59" t="n"/>
      <c r="AC97" s="59" t="n"/>
      <c r="AD97" s="59" t="n"/>
      <c r="AE97" s="59" t="n"/>
      <c r="AF97" s="59" t="n"/>
      <c r="AG97" s="59" t="n"/>
      <c r="AH97" s="59" t="n"/>
    </row>
    <row r="98" ht="14.25" customHeight="1">
      <c r="A98" s="62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66" t="n"/>
      <c r="R98" s="66" t="n"/>
      <c r="S98" s="66" t="n"/>
      <c r="T98" s="59" t="n"/>
      <c r="U98" s="59" t="n"/>
      <c r="V98" s="59" t="n"/>
      <c r="W98" s="66" t="n"/>
      <c r="X98" s="59" t="n"/>
      <c r="Y98" s="59" t="n"/>
      <c r="Z98" s="59" t="n"/>
      <c r="AA98" s="59" t="n"/>
      <c r="AB98" s="59" t="n"/>
      <c r="AC98" s="59" t="n"/>
      <c r="AD98" s="59" t="n"/>
      <c r="AE98" s="59" t="n"/>
      <c r="AF98" s="59" t="n"/>
      <c r="AG98" s="59" t="n"/>
      <c r="AH98" s="59" t="n"/>
    </row>
    <row r="99" ht="14.25" customHeight="1">
      <c r="A99" s="62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66" t="n"/>
      <c r="R99" s="66" t="n"/>
      <c r="S99" s="66" t="n"/>
      <c r="T99" s="59" t="n"/>
      <c r="U99" s="59" t="n"/>
      <c r="V99" s="59" t="n"/>
      <c r="W99" s="66" t="n"/>
      <c r="X99" s="59" t="n"/>
      <c r="Y99" s="59" t="n"/>
      <c r="Z99" s="59" t="n"/>
      <c r="AA99" s="59" t="n"/>
      <c r="AB99" s="59" t="n"/>
      <c r="AC99" s="59" t="n"/>
      <c r="AD99" s="59" t="n"/>
      <c r="AE99" s="59" t="n"/>
      <c r="AF99" s="59" t="n"/>
      <c r="AG99" s="59" t="n"/>
      <c r="AH99" s="59" t="n"/>
    </row>
    <row r="100" ht="14.25" customHeight="1">
      <c r="A100" s="62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66" t="n"/>
      <c r="R100" s="66" t="n"/>
      <c r="S100" s="66" t="n"/>
      <c r="T100" s="59" t="n"/>
      <c r="U100" s="59" t="n"/>
      <c r="V100" s="59" t="n"/>
      <c r="W100" s="66" t="n"/>
      <c r="X100" s="59" t="n"/>
      <c r="Y100" s="59" t="n"/>
      <c r="Z100" s="59" t="n"/>
      <c r="AA100" s="59" t="n"/>
      <c r="AB100" s="59" t="n"/>
      <c r="AC100" s="59" t="n"/>
      <c r="AD100" s="59" t="n"/>
      <c r="AE100" s="59" t="n"/>
      <c r="AF100" s="59" t="n"/>
      <c r="AG100" s="59" t="n"/>
      <c r="AH100" s="59" t="n"/>
    </row>
    <row r="101" ht="14.25" customHeight="1">
      <c r="A101" s="62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66" t="n"/>
      <c r="R101" s="66" t="n"/>
      <c r="S101" s="66" t="n"/>
      <c r="T101" s="59" t="n"/>
      <c r="U101" s="59" t="n"/>
      <c r="V101" s="59" t="n"/>
      <c r="W101" s="66" t="n"/>
      <c r="X101" s="59" t="n"/>
      <c r="Y101" s="59" t="n"/>
      <c r="Z101" s="59" t="n"/>
      <c r="AA101" s="59" t="n"/>
      <c r="AB101" s="59" t="n"/>
      <c r="AC101" s="59" t="n"/>
      <c r="AD101" s="59" t="n"/>
      <c r="AE101" s="59" t="n"/>
      <c r="AF101" s="59" t="n"/>
      <c r="AG101" s="59" t="n"/>
      <c r="AH101" s="59" t="n"/>
    </row>
    <row r="102" ht="14.25" customHeight="1">
      <c r="A102" s="62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66" t="n"/>
      <c r="R102" s="66" t="n"/>
      <c r="S102" s="66" t="n"/>
      <c r="T102" s="59" t="n"/>
      <c r="U102" s="59" t="n"/>
      <c r="V102" s="59" t="n"/>
      <c r="W102" s="66" t="n"/>
      <c r="X102" s="59" t="n"/>
      <c r="Y102" s="59" t="n"/>
      <c r="Z102" s="59" t="n"/>
      <c r="AA102" s="59" t="n"/>
      <c r="AB102" s="59" t="n"/>
      <c r="AC102" s="59" t="n"/>
      <c r="AD102" s="59" t="n"/>
      <c r="AE102" s="59" t="n"/>
      <c r="AF102" s="59" t="n"/>
      <c r="AG102" s="59" t="n"/>
      <c r="AH102" s="59" t="n"/>
    </row>
    <row r="103" ht="14.25" customHeight="1">
      <c r="A103" s="62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66" t="n"/>
      <c r="R103" s="66" t="n"/>
      <c r="S103" s="66" t="n"/>
      <c r="T103" s="59" t="n"/>
      <c r="U103" s="59" t="n"/>
      <c r="V103" s="59" t="n"/>
      <c r="W103" s="66" t="n"/>
      <c r="X103" s="59" t="n"/>
      <c r="Y103" s="59" t="n"/>
      <c r="Z103" s="59" t="n"/>
      <c r="AA103" s="59" t="n"/>
      <c r="AB103" s="59" t="n"/>
      <c r="AC103" s="59" t="n"/>
      <c r="AD103" s="59" t="n"/>
      <c r="AE103" s="59" t="n"/>
      <c r="AF103" s="59" t="n"/>
      <c r="AG103" s="59" t="n"/>
      <c r="AH103" s="59" t="n"/>
    </row>
    <row r="104" ht="14.25" customHeight="1">
      <c r="A104" s="62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66" t="n"/>
      <c r="R104" s="66" t="n"/>
      <c r="S104" s="66" t="n"/>
      <c r="T104" s="59" t="n"/>
      <c r="U104" s="59" t="n"/>
      <c r="V104" s="59" t="n"/>
      <c r="W104" s="66" t="n"/>
      <c r="X104" s="59" t="n"/>
      <c r="Y104" s="59" t="n"/>
      <c r="Z104" s="59" t="n"/>
      <c r="AA104" s="59" t="n"/>
      <c r="AB104" s="59" t="n"/>
      <c r="AC104" s="59" t="n"/>
      <c r="AD104" s="59" t="n"/>
      <c r="AE104" s="59" t="n"/>
      <c r="AF104" s="59" t="n"/>
      <c r="AG104" s="59" t="n"/>
      <c r="AH104" s="59" t="n"/>
    </row>
    <row r="105" ht="14.25" customHeight="1">
      <c r="A105" s="62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66" t="n"/>
      <c r="R105" s="66" t="n"/>
      <c r="S105" s="66" t="n"/>
      <c r="T105" s="59" t="n"/>
      <c r="U105" s="59" t="n"/>
      <c r="V105" s="59" t="n"/>
      <c r="W105" s="66" t="n"/>
      <c r="X105" s="59" t="n"/>
      <c r="Y105" s="59" t="n"/>
      <c r="Z105" s="59" t="n"/>
      <c r="AA105" s="59" t="n"/>
      <c r="AB105" s="59" t="n"/>
      <c r="AC105" s="59" t="n"/>
      <c r="AD105" s="59" t="n"/>
      <c r="AE105" s="59" t="n"/>
      <c r="AF105" s="59" t="n"/>
      <c r="AG105" s="59" t="n"/>
      <c r="AH105" s="59" t="n"/>
    </row>
    <row r="106" ht="14.25" customHeight="1">
      <c r="A106" s="62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66" t="n"/>
      <c r="R106" s="66" t="n"/>
      <c r="S106" s="66" t="n"/>
      <c r="T106" s="59" t="n"/>
      <c r="U106" s="59" t="n"/>
      <c r="V106" s="59" t="n"/>
      <c r="W106" s="66" t="n"/>
      <c r="X106" s="59" t="n"/>
      <c r="Y106" s="59" t="n"/>
      <c r="Z106" s="59" t="n"/>
      <c r="AA106" s="59" t="n"/>
      <c r="AB106" s="59" t="n"/>
      <c r="AC106" s="59" t="n"/>
      <c r="AD106" s="59" t="n"/>
      <c r="AE106" s="59" t="n"/>
      <c r="AF106" s="59" t="n"/>
      <c r="AG106" s="59" t="n"/>
      <c r="AH106" s="59" t="n"/>
    </row>
    <row r="107" ht="14.25" customHeight="1">
      <c r="A107" s="62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66" t="n"/>
      <c r="R107" s="66" t="n"/>
      <c r="S107" s="66" t="n"/>
      <c r="T107" s="59" t="n"/>
      <c r="U107" s="59" t="n"/>
      <c r="V107" s="59" t="n"/>
      <c r="W107" s="66" t="n"/>
      <c r="X107" s="59" t="n"/>
      <c r="Y107" s="59" t="n"/>
      <c r="Z107" s="59" t="n"/>
      <c r="AA107" s="59" t="n"/>
      <c r="AB107" s="59" t="n"/>
      <c r="AC107" s="59" t="n"/>
      <c r="AD107" s="59" t="n"/>
      <c r="AE107" s="59" t="n"/>
      <c r="AF107" s="59" t="n"/>
      <c r="AG107" s="59" t="n"/>
      <c r="AH107" s="59" t="n"/>
    </row>
    <row r="108" ht="14.25" customHeight="1">
      <c r="A108" s="62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66" t="n"/>
      <c r="R108" s="66" t="n"/>
      <c r="S108" s="66" t="n"/>
      <c r="T108" s="59" t="n"/>
      <c r="U108" s="59" t="n"/>
      <c r="V108" s="59" t="n"/>
      <c r="W108" s="66" t="n"/>
      <c r="X108" s="59" t="n"/>
      <c r="Y108" s="59" t="n"/>
      <c r="Z108" s="59" t="n"/>
      <c r="AA108" s="59" t="n"/>
      <c r="AB108" s="59" t="n"/>
      <c r="AC108" s="59" t="n"/>
      <c r="AD108" s="59" t="n"/>
      <c r="AE108" s="59" t="n"/>
      <c r="AF108" s="59" t="n"/>
      <c r="AG108" s="59" t="n"/>
      <c r="AH108" s="59" t="n"/>
    </row>
    <row r="109" ht="14.25" customHeight="1">
      <c r="A109" s="62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66" t="n"/>
      <c r="R109" s="66" t="n"/>
      <c r="S109" s="66" t="n"/>
      <c r="T109" s="59" t="n"/>
      <c r="U109" s="59" t="n"/>
      <c r="V109" s="59" t="n"/>
      <c r="W109" s="66" t="n"/>
      <c r="X109" s="59" t="n"/>
      <c r="Y109" s="59" t="n"/>
      <c r="Z109" s="59" t="n"/>
      <c r="AA109" s="59" t="n"/>
      <c r="AB109" s="59" t="n"/>
      <c r="AC109" s="59" t="n"/>
      <c r="AD109" s="59" t="n"/>
      <c r="AE109" s="59" t="n"/>
      <c r="AF109" s="59" t="n"/>
      <c r="AG109" s="59" t="n"/>
      <c r="AH109" s="59" t="n"/>
    </row>
    <row r="110" ht="14.25" customHeight="1">
      <c r="A110" s="62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66" t="n"/>
      <c r="R110" s="66" t="n"/>
      <c r="S110" s="66" t="n"/>
      <c r="T110" s="59" t="n"/>
      <c r="U110" s="59" t="n"/>
      <c r="V110" s="59" t="n"/>
      <c r="W110" s="66" t="n"/>
      <c r="X110" s="59" t="n"/>
      <c r="Y110" s="59" t="n"/>
      <c r="Z110" s="59" t="n"/>
      <c r="AA110" s="59" t="n"/>
      <c r="AB110" s="59" t="n"/>
      <c r="AC110" s="59" t="n"/>
      <c r="AD110" s="59" t="n"/>
      <c r="AE110" s="59" t="n"/>
      <c r="AF110" s="59" t="n"/>
      <c r="AG110" s="59" t="n"/>
      <c r="AH110" s="59" t="n"/>
    </row>
    <row r="111" ht="14.25" customHeight="1">
      <c r="A111" s="62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66" t="n"/>
      <c r="R111" s="66" t="n"/>
      <c r="S111" s="66" t="n"/>
      <c r="T111" s="59" t="n"/>
      <c r="U111" s="59" t="n"/>
      <c r="V111" s="59" t="n"/>
      <c r="W111" s="66" t="n"/>
      <c r="X111" s="59" t="n"/>
      <c r="Y111" s="59" t="n"/>
      <c r="Z111" s="59" t="n"/>
      <c r="AA111" s="59" t="n"/>
      <c r="AB111" s="59" t="n"/>
      <c r="AC111" s="59" t="n"/>
      <c r="AD111" s="59" t="n"/>
      <c r="AE111" s="59" t="n"/>
      <c r="AF111" s="59" t="n"/>
      <c r="AG111" s="59" t="n"/>
      <c r="AH111" s="59" t="n"/>
    </row>
    <row r="112" ht="14.25" customHeight="1">
      <c r="A112" s="62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66" t="n"/>
      <c r="R112" s="66" t="n"/>
      <c r="S112" s="66" t="n"/>
      <c r="T112" s="59" t="n"/>
      <c r="U112" s="59" t="n"/>
      <c r="V112" s="59" t="n"/>
      <c r="W112" s="66" t="n"/>
      <c r="X112" s="59" t="n"/>
      <c r="Y112" s="59" t="n"/>
      <c r="Z112" s="59" t="n"/>
      <c r="AA112" s="59" t="n"/>
      <c r="AB112" s="59" t="n"/>
      <c r="AC112" s="59" t="n"/>
      <c r="AD112" s="59" t="n"/>
      <c r="AE112" s="59" t="n"/>
      <c r="AF112" s="59" t="n"/>
      <c r="AG112" s="59" t="n"/>
      <c r="AH112" s="59" t="n"/>
    </row>
    <row r="113" ht="14.25" customHeight="1">
      <c r="A113" s="62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66" t="n"/>
      <c r="R113" s="66" t="n"/>
      <c r="S113" s="66" t="n"/>
      <c r="T113" s="59" t="n"/>
      <c r="U113" s="59" t="n"/>
      <c r="V113" s="59" t="n"/>
      <c r="W113" s="66" t="n"/>
      <c r="X113" s="59" t="n"/>
      <c r="Y113" s="59" t="n"/>
      <c r="Z113" s="59" t="n"/>
      <c r="AA113" s="59" t="n"/>
      <c r="AB113" s="59" t="n"/>
      <c r="AC113" s="59" t="n"/>
      <c r="AD113" s="59" t="n"/>
      <c r="AE113" s="59" t="n"/>
      <c r="AF113" s="59" t="n"/>
      <c r="AG113" s="59" t="n"/>
      <c r="AH113" s="59" t="n"/>
    </row>
    <row r="114" ht="14.25" customHeight="1">
      <c r="A114" s="62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66" t="n"/>
      <c r="R114" s="66" t="n"/>
      <c r="S114" s="66" t="n"/>
      <c r="T114" s="59" t="n"/>
      <c r="U114" s="59" t="n"/>
      <c r="V114" s="59" t="n"/>
      <c r="W114" s="66" t="n"/>
      <c r="X114" s="59" t="n"/>
      <c r="Y114" s="59" t="n"/>
      <c r="Z114" s="59" t="n"/>
      <c r="AA114" s="59" t="n"/>
      <c r="AB114" s="59" t="n"/>
      <c r="AC114" s="59" t="n"/>
      <c r="AD114" s="59" t="n"/>
      <c r="AE114" s="59" t="n"/>
      <c r="AF114" s="59" t="n"/>
      <c r="AG114" s="59" t="n"/>
      <c r="AH114" s="59" t="n"/>
    </row>
    <row r="115" ht="14.25" customHeight="1">
      <c r="A115" s="62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66" t="n"/>
      <c r="R115" s="66" t="n"/>
      <c r="S115" s="66" t="n"/>
      <c r="T115" s="59" t="n"/>
      <c r="U115" s="59" t="n"/>
      <c r="V115" s="59" t="n"/>
      <c r="W115" s="66" t="n"/>
      <c r="X115" s="59" t="n"/>
      <c r="Y115" s="59" t="n"/>
      <c r="Z115" s="59" t="n"/>
      <c r="AA115" s="59" t="n"/>
      <c r="AB115" s="59" t="n"/>
      <c r="AC115" s="59" t="n"/>
      <c r="AD115" s="59" t="n"/>
      <c r="AE115" s="59" t="n"/>
      <c r="AF115" s="59" t="n"/>
      <c r="AG115" s="59" t="n"/>
      <c r="AH115" s="59" t="n"/>
    </row>
    <row r="116" ht="14.25" customHeight="1">
      <c r="A116" s="62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66" t="n"/>
      <c r="R116" s="66" t="n"/>
      <c r="S116" s="66" t="n"/>
      <c r="T116" s="59" t="n"/>
      <c r="U116" s="59" t="n"/>
      <c r="V116" s="59" t="n"/>
      <c r="W116" s="66" t="n"/>
      <c r="X116" s="59" t="n"/>
      <c r="Y116" s="59" t="n"/>
      <c r="Z116" s="59" t="n"/>
      <c r="AA116" s="59" t="n"/>
      <c r="AB116" s="59" t="n"/>
      <c r="AC116" s="59" t="n"/>
      <c r="AD116" s="59" t="n"/>
      <c r="AE116" s="59" t="n"/>
      <c r="AF116" s="59" t="n"/>
      <c r="AG116" s="59" t="n"/>
      <c r="AH116" s="59" t="n"/>
    </row>
    <row r="117" ht="14.25" customHeight="1">
      <c r="A117" s="62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66" t="n"/>
      <c r="R117" s="66" t="n"/>
      <c r="S117" s="66" t="n"/>
      <c r="T117" s="59" t="n"/>
      <c r="U117" s="59" t="n"/>
      <c r="V117" s="59" t="n"/>
      <c r="W117" s="66" t="n"/>
      <c r="X117" s="59" t="n"/>
      <c r="Y117" s="59" t="n"/>
      <c r="Z117" s="59" t="n"/>
      <c r="AA117" s="59" t="n"/>
      <c r="AB117" s="59" t="n"/>
      <c r="AC117" s="59" t="n"/>
      <c r="AD117" s="59" t="n"/>
      <c r="AE117" s="59" t="n"/>
      <c r="AF117" s="59" t="n"/>
      <c r="AG117" s="59" t="n"/>
      <c r="AH117" s="59" t="n"/>
    </row>
    <row r="118" ht="14.25" customHeight="1">
      <c r="A118" s="62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66" t="n"/>
      <c r="R118" s="66" t="n"/>
      <c r="S118" s="66" t="n"/>
      <c r="T118" s="59" t="n"/>
      <c r="U118" s="59" t="n"/>
      <c r="V118" s="59" t="n"/>
      <c r="W118" s="66" t="n"/>
      <c r="X118" s="59" t="n"/>
      <c r="Y118" s="59" t="n"/>
      <c r="Z118" s="59" t="n"/>
      <c r="AA118" s="59" t="n"/>
      <c r="AB118" s="59" t="n"/>
      <c r="AC118" s="59" t="n"/>
      <c r="AD118" s="59" t="n"/>
      <c r="AE118" s="59" t="n"/>
      <c r="AF118" s="59" t="n"/>
      <c r="AG118" s="59" t="n"/>
      <c r="AH118" s="59" t="n"/>
    </row>
    <row r="119" ht="14.25" customHeight="1">
      <c r="A119" s="62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66" t="n"/>
      <c r="R119" s="66" t="n"/>
      <c r="S119" s="66" t="n"/>
      <c r="T119" s="59" t="n"/>
      <c r="U119" s="59" t="n"/>
      <c r="V119" s="59" t="n"/>
      <c r="W119" s="66" t="n"/>
      <c r="X119" s="59" t="n"/>
      <c r="Y119" s="59" t="n"/>
      <c r="Z119" s="59" t="n"/>
      <c r="AA119" s="59" t="n"/>
      <c r="AB119" s="59" t="n"/>
      <c r="AC119" s="59" t="n"/>
      <c r="AD119" s="59" t="n"/>
      <c r="AE119" s="59" t="n"/>
      <c r="AF119" s="59" t="n"/>
      <c r="AG119" s="59" t="n"/>
      <c r="AH119" s="59" t="n"/>
    </row>
    <row r="120" ht="14.25" customHeight="1">
      <c r="A120" s="62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66" t="n"/>
      <c r="R120" s="66" t="n"/>
      <c r="S120" s="66" t="n"/>
      <c r="T120" s="59" t="n"/>
      <c r="U120" s="59" t="n"/>
      <c r="V120" s="59" t="n"/>
      <c r="W120" s="66" t="n"/>
      <c r="X120" s="59" t="n"/>
      <c r="Y120" s="59" t="n"/>
      <c r="Z120" s="59" t="n"/>
      <c r="AA120" s="59" t="n"/>
      <c r="AB120" s="59" t="n"/>
      <c r="AC120" s="59" t="n"/>
      <c r="AD120" s="59" t="n"/>
      <c r="AE120" s="59" t="n"/>
      <c r="AF120" s="59" t="n"/>
      <c r="AG120" s="59" t="n"/>
      <c r="AH120" s="59" t="n"/>
    </row>
    <row r="121" ht="14.25" customHeight="1">
      <c r="A121" s="62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66" t="n"/>
      <c r="R121" s="66" t="n"/>
      <c r="S121" s="66" t="n"/>
      <c r="T121" s="59" t="n"/>
      <c r="U121" s="59" t="n"/>
      <c r="V121" s="59" t="n"/>
      <c r="W121" s="66" t="n"/>
      <c r="X121" s="59" t="n"/>
      <c r="Y121" s="59" t="n"/>
      <c r="Z121" s="59" t="n"/>
      <c r="AA121" s="59" t="n"/>
      <c r="AB121" s="59" t="n"/>
      <c r="AC121" s="59" t="n"/>
      <c r="AD121" s="59" t="n"/>
      <c r="AE121" s="59" t="n"/>
      <c r="AF121" s="59" t="n"/>
      <c r="AG121" s="59" t="n"/>
      <c r="AH121" s="59" t="n"/>
    </row>
    <row r="122" ht="14.25" customHeight="1">
      <c r="A122" s="62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66" t="n"/>
      <c r="R122" s="66" t="n"/>
      <c r="S122" s="66" t="n"/>
      <c r="T122" s="59" t="n"/>
      <c r="U122" s="59" t="n"/>
      <c r="V122" s="59" t="n"/>
      <c r="W122" s="66" t="n"/>
      <c r="X122" s="59" t="n"/>
      <c r="Y122" s="59" t="n"/>
      <c r="Z122" s="59" t="n"/>
      <c r="AA122" s="59" t="n"/>
      <c r="AB122" s="59" t="n"/>
      <c r="AC122" s="59" t="n"/>
      <c r="AD122" s="59" t="n"/>
      <c r="AE122" s="59" t="n"/>
      <c r="AF122" s="59" t="n"/>
      <c r="AG122" s="59" t="n"/>
      <c r="AH122" s="59" t="n"/>
    </row>
    <row r="123" ht="14.25" customHeight="1">
      <c r="A123" s="62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66" t="n"/>
      <c r="R123" s="66" t="n"/>
      <c r="S123" s="66" t="n"/>
      <c r="T123" s="59" t="n"/>
      <c r="U123" s="59" t="n"/>
      <c r="V123" s="59" t="n"/>
      <c r="W123" s="66" t="n"/>
      <c r="X123" s="59" t="n"/>
      <c r="Y123" s="59" t="n"/>
      <c r="Z123" s="59" t="n"/>
      <c r="AA123" s="59" t="n"/>
      <c r="AB123" s="59" t="n"/>
      <c r="AC123" s="59" t="n"/>
      <c r="AD123" s="59" t="n"/>
      <c r="AE123" s="59" t="n"/>
      <c r="AF123" s="59" t="n"/>
      <c r="AG123" s="59" t="n"/>
      <c r="AH123" s="59" t="n"/>
    </row>
    <row r="124" ht="14.25" customHeight="1">
      <c r="A124" s="62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66" t="n"/>
      <c r="R124" s="66" t="n"/>
      <c r="S124" s="66" t="n"/>
      <c r="T124" s="59" t="n"/>
      <c r="U124" s="59" t="n"/>
      <c r="V124" s="59" t="n"/>
      <c r="W124" s="66" t="n"/>
      <c r="X124" s="59" t="n"/>
      <c r="Y124" s="59" t="n"/>
      <c r="Z124" s="59" t="n"/>
      <c r="AA124" s="59" t="n"/>
      <c r="AB124" s="59" t="n"/>
      <c r="AC124" s="59" t="n"/>
      <c r="AD124" s="59" t="n"/>
      <c r="AE124" s="59" t="n"/>
      <c r="AF124" s="59" t="n"/>
      <c r="AG124" s="59" t="n"/>
      <c r="AH124" s="59" t="n"/>
    </row>
    <row r="125" ht="14.25" customHeight="1">
      <c r="A125" s="62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66" t="n"/>
      <c r="R125" s="66" t="n"/>
      <c r="S125" s="66" t="n"/>
      <c r="T125" s="59" t="n"/>
      <c r="U125" s="59" t="n"/>
      <c r="V125" s="59" t="n"/>
      <c r="W125" s="66" t="n"/>
      <c r="X125" s="59" t="n"/>
      <c r="Y125" s="59" t="n"/>
      <c r="Z125" s="59" t="n"/>
      <c r="AA125" s="59" t="n"/>
      <c r="AB125" s="59" t="n"/>
      <c r="AC125" s="59" t="n"/>
      <c r="AD125" s="59" t="n"/>
      <c r="AE125" s="59" t="n"/>
      <c r="AF125" s="59" t="n"/>
      <c r="AG125" s="59" t="n"/>
      <c r="AH125" s="59" t="n"/>
    </row>
    <row r="126" ht="14.25" customHeight="1">
      <c r="A126" s="62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66" t="n"/>
      <c r="R126" s="66" t="n"/>
      <c r="S126" s="66" t="n"/>
      <c r="T126" s="59" t="n"/>
      <c r="U126" s="59" t="n"/>
      <c r="V126" s="59" t="n"/>
      <c r="W126" s="66" t="n"/>
      <c r="X126" s="59" t="n"/>
      <c r="Y126" s="59" t="n"/>
      <c r="Z126" s="59" t="n"/>
      <c r="AA126" s="59" t="n"/>
      <c r="AB126" s="59" t="n"/>
      <c r="AC126" s="59" t="n"/>
      <c r="AD126" s="59" t="n"/>
      <c r="AE126" s="59" t="n"/>
      <c r="AF126" s="59" t="n"/>
      <c r="AG126" s="59" t="n"/>
      <c r="AH126" s="59" t="n"/>
    </row>
    <row r="127" ht="14.25" customHeight="1">
      <c r="A127" s="62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66" t="n"/>
      <c r="R127" s="66" t="n"/>
      <c r="S127" s="66" t="n"/>
      <c r="T127" s="59" t="n"/>
      <c r="U127" s="59" t="n"/>
      <c r="V127" s="59" t="n"/>
      <c r="W127" s="66" t="n"/>
      <c r="X127" s="59" t="n"/>
      <c r="Y127" s="59" t="n"/>
      <c r="Z127" s="59" t="n"/>
      <c r="AA127" s="59" t="n"/>
      <c r="AB127" s="59" t="n"/>
      <c r="AC127" s="59" t="n"/>
      <c r="AD127" s="59" t="n"/>
      <c r="AE127" s="59" t="n"/>
      <c r="AF127" s="59" t="n"/>
      <c r="AG127" s="59" t="n"/>
      <c r="AH127" s="59" t="n"/>
    </row>
    <row r="128" ht="14.25" customHeight="1">
      <c r="A128" s="62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66" t="n"/>
      <c r="R128" s="66" t="n"/>
      <c r="S128" s="66" t="n"/>
      <c r="T128" s="59" t="n"/>
      <c r="U128" s="59" t="n"/>
      <c r="V128" s="59" t="n"/>
      <c r="W128" s="66" t="n"/>
      <c r="X128" s="59" t="n"/>
      <c r="Y128" s="59" t="n"/>
      <c r="Z128" s="59" t="n"/>
      <c r="AA128" s="59" t="n"/>
      <c r="AB128" s="59" t="n"/>
      <c r="AC128" s="59" t="n"/>
      <c r="AD128" s="59" t="n"/>
      <c r="AE128" s="59" t="n"/>
      <c r="AF128" s="59" t="n"/>
      <c r="AG128" s="59" t="n"/>
      <c r="AH128" s="59" t="n"/>
    </row>
    <row r="129" ht="14.25" customHeight="1">
      <c r="A129" s="62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66" t="n"/>
      <c r="R129" s="66" t="n"/>
      <c r="S129" s="66" t="n"/>
      <c r="T129" s="59" t="n"/>
      <c r="U129" s="59" t="n"/>
      <c r="V129" s="59" t="n"/>
      <c r="W129" s="66" t="n"/>
      <c r="X129" s="59" t="n"/>
      <c r="Y129" s="59" t="n"/>
      <c r="Z129" s="59" t="n"/>
      <c r="AA129" s="59" t="n"/>
      <c r="AB129" s="59" t="n"/>
      <c r="AC129" s="59" t="n"/>
      <c r="AD129" s="59" t="n"/>
      <c r="AE129" s="59" t="n"/>
      <c r="AF129" s="59" t="n"/>
      <c r="AG129" s="59" t="n"/>
      <c r="AH129" s="59" t="n"/>
    </row>
    <row r="130" ht="14.25" customHeight="1">
      <c r="A130" s="62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66" t="n"/>
      <c r="R130" s="66" t="n"/>
      <c r="S130" s="66" t="n"/>
      <c r="T130" s="59" t="n"/>
      <c r="U130" s="59" t="n"/>
      <c r="V130" s="59" t="n"/>
      <c r="W130" s="66" t="n"/>
      <c r="X130" s="59" t="n"/>
      <c r="Y130" s="59" t="n"/>
      <c r="Z130" s="59" t="n"/>
      <c r="AA130" s="59" t="n"/>
      <c r="AB130" s="59" t="n"/>
      <c r="AC130" s="59" t="n"/>
      <c r="AD130" s="59" t="n"/>
      <c r="AE130" s="59" t="n"/>
      <c r="AF130" s="59" t="n"/>
      <c r="AG130" s="59" t="n"/>
      <c r="AH130" s="59" t="n"/>
    </row>
    <row r="131" ht="14.25" customHeight="1">
      <c r="A131" s="62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66" t="n"/>
      <c r="R131" s="66" t="n"/>
      <c r="S131" s="66" t="n"/>
      <c r="T131" s="59" t="n"/>
      <c r="U131" s="59" t="n"/>
      <c r="V131" s="59" t="n"/>
      <c r="W131" s="66" t="n"/>
      <c r="X131" s="59" t="n"/>
      <c r="Y131" s="59" t="n"/>
      <c r="Z131" s="59" t="n"/>
      <c r="AA131" s="59" t="n"/>
      <c r="AB131" s="59" t="n"/>
      <c r="AC131" s="59" t="n"/>
      <c r="AD131" s="59" t="n"/>
      <c r="AE131" s="59" t="n"/>
      <c r="AF131" s="59" t="n"/>
      <c r="AG131" s="59" t="n"/>
      <c r="AH131" s="59" t="n"/>
    </row>
    <row r="132" ht="14.25" customHeight="1">
      <c r="A132" s="62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66" t="n"/>
      <c r="R132" s="66" t="n"/>
      <c r="S132" s="66" t="n"/>
      <c r="T132" s="59" t="n"/>
      <c r="U132" s="59" t="n"/>
      <c r="V132" s="59" t="n"/>
      <c r="W132" s="66" t="n"/>
      <c r="X132" s="59" t="n"/>
      <c r="Y132" s="59" t="n"/>
      <c r="Z132" s="59" t="n"/>
      <c r="AA132" s="59" t="n"/>
      <c r="AB132" s="59" t="n"/>
      <c r="AC132" s="59" t="n"/>
      <c r="AD132" s="59" t="n"/>
      <c r="AE132" s="59" t="n"/>
      <c r="AF132" s="59" t="n"/>
      <c r="AG132" s="59" t="n"/>
      <c r="AH132" s="59" t="n"/>
    </row>
    <row r="133" ht="14.25" customHeight="1">
      <c r="A133" s="62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66" t="n"/>
      <c r="R133" s="66" t="n"/>
      <c r="S133" s="66" t="n"/>
      <c r="T133" s="59" t="n"/>
      <c r="U133" s="59" t="n"/>
      <c r="V133" s="59" t="n"/>
      <c r="W133" s="66" t="n"/>
      <c r="X133" s="59" t="n"/>
      <c r="Y133" s="59" t="n"/>
      <c r="Z133" s="59" t="n"/>
      <c r="AA133" s="59" t="n"/>
      <c r="AB133" s="59" t="n"/>
      <c r="AC133" s="59" t="n"/>
      <c r="AD133" s="59" t="n"/>
      <c r="AE133" s="59" t="n"/>
      <c r="AF133" s="59" t="n"/>
      <c r="AG133" s="59" t="n"/>
      <c r="AH133" s="59" t="n"/>
    </row>
    <row r="134" ht="14.25" customHeight="1">
      <c r="A134" s="62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66" t="n"/>
      <c r="R134" s="66" t="n"/>
      <c r="S134" s="66" t="n"/>
      <c r="T134" s="59" t="n"/>
      <c r="U134" s="59" t="n"/>
      <c r="V134" s="59" t="n"/>
      <c r="W134" s="66" t="n"/>
      <c r="X134" s="59" t="n"/>
      <c r="Y134" s="59" t="n"/>
      <c r="Z134" s="59" t="n"/>
      <c r="AA134" s="59" t="n"/>
      <c r="AB134" s="59" t="n"/>
      <c r="AC134" s="59" t="n"/>
      <c r="AD134" s="59" t="n"/>
      <c r="AE134" s="59" t="n"/>
      <c r="AF134" s="59" t="n"/>
      <c r="AG134" s="59" t="n"/>
      <c r="AH134" s="59" t="n"/>
    </row>
    <row r="135" ht="14.25" customHeight="1">
      <c r="A135" s="62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66" t="n"/>
      <c r="R135" s="66" t="n"/>
      <c r="S135" s="66" t="n"/>
      <c r="T135" s="59" t="n"/>
      <c r="U135" s="59" t="n"/>
      <c r="V135" s="59" t="n"/>
      <c r="W135" s="66" t="n"/>
      <c r="X135" s="59" t="n"/>
      <c r="Y135" s="59" t="n"/>
      <c r="Z135" s="59" t="n"/>
      <c r="AA135" s="59" t="n"/>
      <c r="AB135" s="59" t="n"/>
      <c r="AC135" s="59" t="n"/>
      <c r="AD135" s="59" t="n"/>
      <c r="AE135" s="59" t="n"/>
      <c r="AF135" s="59" t="n"/>
      <c r="AG135" s="59" t="n"/>
      <c r="AH135" s="59" t="n"/>
    </row>
    <row r="136" ht="14.25" customHeight="1">
      <c r="A136" s="62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66" t="n"/>
      <c r="R136" s="66" t="n"/>
      <c r="S136" s="66" t="n"/>
      <c r="T136" s="59" t="n"/>
      <c r="U136" s="59" t="n"/>
      <c r="V136" s="59" t="n"/>
      <c r="W136" s="66" t="n"/>
      <c r="X136" s="59" t="n"/>
      <c r="Y136" s="59" t="n"/>
      <c r="Z136" s="59" t="n"/>
      <c r="AA136" s="59" t="n"/>
      <c r="AB136" s="59" t="n"/>
      <c r="AC136" s="59" t="n"/>
      <c r="AD136" s="59" t="n"/>
      <c r="AE136" s="59" t="n"/>
      <c r="AF136" s="59" t="n"/>
      <c r="AG136" s="59" t="n"/>
      <c r="AH136" s="59" t="n"/>
    </row>
    <row r="137" ht="14.25" customHeight="1">
      <c r="A137" s="62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66" t="n"/>
      <c r="R137" s="66" t="n"/>
      <c r="S137" s="66" t="n"/>
      <c r="T137" s="59" t="n"/>
      <c r="U137" s="59" t="n"/>
      <c r="V137" s="59" t="n"/>
      <c r="W137" s="66" t="n"/>
      <c r="X137" s="59" t="n"/>
      <c r="Y137" s="59" t="n"/>
      <c r="Z137" s="59" t="n"/>
      <c r="AA137" s="59" t="n"/>
      <c r="AB137" s="59" t="n"/>
      <c r="AC137" s="59" t="n"/>
      <c r="AD137" s="59" t="n"/>
      <c r="AE137" s="59" t="n"/>
      <c r="AF137" s="59" t="n"/>
      <c r="AG137" s="59" t="n"/>
      <c r="AH137" s="59" t="n"/>
    </row>
    <row r="138" ht="14.25" customHeight="1">
      <c r="A138" s="62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66" t="n"/>
      <c r="R138" s="66" t="n"/>
      <c r="S138" s="66" t="n"/>
      <c r="T138" s="59" t="n"/>
      <c r="U138" s="59" t="n"/>
      <c r="V138" s="59" t="n"/>
      <c r="W138" s="66" t="n"/>
      <c r="X138" s="59" t="n"/>
      <c r="Y138" s="59" t="n"/>
      <c r="Z138" s="59" t="n"/>
      <c r="AA138" s="59" t="n"/>
      <c r="AB138" s="59" t="n"/>
      <c r="AC138" s="59" t="n"/>
      <c r="AD138" s="59" t="n"/>
      <c r="AE138" s="59" t="n"/>
      <c r="AF138" s="59" t="n"/>
      <c r="AG138" s="59" t="n"/>
      <c r="AH138" s="59" t="n"/>
    </row>
    <row r="139" ht="14.25" customHeight="1">
      <c r="A139" s="62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66" t="n"/>
      <c r="R139" s="66" t="n"/>
      <c r="S139" s="66" t="n"/>
      <c r="T139" s="59" t="n"/>
      <c r="U139" s="59" t="n"/>
      <c r="V139" s="59" t="n"/>
      <c r="W139" s="66" t="n"/>
      <c r="X139" s="59" t="n"/>
      <c r="Y139" s="59" t="n"/>
      <c r="Z139" s="59" t="n"/>
      <c r="AA139" s="59" t="n"/>
      <c r="AB139" s="59" t="n"/>
      <c r="AC139" s="59" t="n"/>
      <c r="AD139" s="59" t="n"/>
      <c r="AE139" s="59" t="n"/>
      <c r="AF139" s="59" t="n"/>
      <c r="AG139" s="59" t="n"/>
      <c r="AH139" s="59" t="n"/>
    </row>
    <row r="140" ht="14.25" customHeight="1">
      <c r="A140" s="62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66" t="n"/>
      <c r="R140" s="66" t="n"/>
      <c r="S140" s="66" t="n"/>
      <c r="T140" s="59" t="n"/>
      <c r="U140" s="59" t="n"/>
      <c r="V140" s="59" t="n"/>
      <c r="W140" s="66" t="n"/>
      <c r="X140" s="59" t="n"/>
      <c r="Y140" s="59" t="n"/>
      <c r="Z140" s="59" t="n"/>
      <c r="AA140" s="59" t="n"/>
      <c r="AB140" s="59" t="n"/>
      <c r="AC140" s="59" t="n"/>
      <c r="AD140" s="59" t="n"/>
      <c r="AE140" s="59" t="n"/>
      <c r="AF140" s="59" t="n"/>
      <c r="AG140" s="59" t="n"/>
      <c r="AH140" s="59" t="n"/>
    </row>
    <row r="141" ht="14.25" customHeight="1">
      <c r="A141" s="62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66" t="n"/>
      <c r="R141" s="66" t="n"/>
      <c r="S141" s="66" t="n"/>
      <c r="T141" s="59" t="n"/>
      <c r="U141" s="59" t="n"/>
      <c r="V141" s="59" t="n"/>
      <c r="W141" s="66" t="n"/>
      <c r="X141" s="59" t="n"/>
      <c r="Y141" s="59" t="n"/>
      <c r="Z141" s="59" t="n"/>
      <c r="AA141" s="59" t="n"/>
      <c r="AB141" s="59" t="n"/>
      <c r="AC141" s="59" t="n"/>
      <c r="AD141" s="59" t="n"/>
      <c r="AE141" s="59" t="n"/>
      <c r="AF141" s="59" t="n"/>
      <c r="AG141" s="59" t="n"/>
      <c r="AH141" s="59" t="n"/>
    </row>
    <row r="142" ht="14.25" customHeight="1">
      <c r="A142" s="62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66" t="n"/>
      <c r="R142" s="66" t="n"/>
      <c r="S142" s="66" t="n"/>
      <c r="T142" s="59" t="n"/>
      <c r="U142" s="59" t="n"/>
      <c r="V142" s="59" t="n"/>
      <c r="W142" s="66" t="n"/>
      <c r="X142" s="59" t="n"/>
      <c r="Y142" s="59" t="n"/>
      <c r="Z142" s="59" t="n"/>
      <c r="AA142" s="59" t="n"/>
      <c r="AB142" s="59" t="n"/>
      <c r="AC142" s="59" t="n"/>
      <c r="AD142" s="59" t="n"/>
      <c r="AE142" s="59" t="n"/>
      <c r="AF142" s="59" t="n"/>
      <c r="AG142" s="59" t="n"/>
      <c r="AH142" s="59" t="n"/>
    </row>
    <row r="143" ht="14.25" customHeight="1">
      <c r="A143" s="62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66" t="n"/>
      <c r="R143" s="66" t="n"/>
      <c r="S143" s="66" t="n"/>
      <c r="T143" s="59" t="n"/>
      <c r="U143" s="59" t="n"/>
      <c r="V143" s="59" t="n"/>
      <c r="W143" s="66" t="n"/>
      <c r="X143" s="59" t="n"/>
      <c r="Y143" s="59" t="n"/>
      <c r="Z143" s="59" t="n"/>
      <c r="AA143" s="59" t="n"/>
      <c r="AB143" s="59" t="n"/>
      <c r="AC143" s="59" t="n"/>
      <c r="AD143" s="59" t="n"/>
      <c r="AE143" s="59" t="n"/>
      <c r="AF143" s="59" t="n"/>
      <c r="AG143" s="59" t="n"/>
      <c r="AH143" s="59" t="n"/>
    </row>
    <row r="144" ht="14.25" customHeight="1">
      <c r="A144" s="62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66" t="n"/>
      <c r="R144" s="66" t="n"/>
      <c r="S144" s="66" t="n"/>
      <c r="T144" s="59" t="n"/>
      <c r="U144" s="59" t="n"/>
      <c r="V144" s="59" t="n"/>
      <c r="W144" s="66" t="n"/>
      <c r="X144" s="59" t="n"/>
      <c r="Y144" s="59" t="n"/>
      <c r="Z144" s="59" t="n"/>
      <c r="AA144" s="59" t="n"/>
      <c r="AB144" s="59" t="n"/>
      <c r="AC144" s="59" t="n"/>
      <c r="AD144" s="59" t="n"/>
      <c r="AE144" s="59" t="n"/>
      <c r="AF144" s="59" t="n"/>
      <c r="AG144" s="59" t="n"/>
      <c r="AH144" s="59" t="n"/>
    </row>
    <row r="145" ht="14.25" customHeight="1">
      <c r="A145" s="62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66" t="n"/>
      <c r="R145" s="66" t="n"/>
      <c r="S145" s="66" t="n"/>
      <c r="T145" s="59" t="n"/>
      <c r="U145" s="59" t="n"/>
      <c r="V145" s="59" t="n"/>
      <c r="W145" s="66" t="n"/>
      <c r="X145" s="59" t="n"/>
      <c r="Y145" s="59" t="n"/>
      <c r="Z145" s="59" t="n"/>
      <c r="AA145" s="59" t="n"/>
      <c r="AB145" s="59" t="n"/>
      <c r="AC145" s="59" t="n"/>
      <c r="AD145" s="59" t="n"/>
      <c r="AE145" s="59" t="n"/>
      <c r="AF145" s="59" t="n"/>
      <c r="AG145" s="59" t="n"/>
      <c r="AH145" s="59" t="n"/>
    </row>
    <row r="146" ht="14.25" customHeight="1">
      <c r="A146" s="62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66" t="n"/>
      <c r="R146" s="66" t="n"/>
      <c r="S146" s="66" t="n"/>
      <c r="T146" s="59" t="n"/>
      <c r="U146" s="59" t="n"/>
      <c r="V146" s="59" t="n"/>
      <c r="W146" s="66" t="n"/>
      <c r="X146" s="59" t="n"/>
      <c r="Y146" s="59" t="n"/>
      <c r="Z146" s="59" t="n"/>
      <c r="AA146" s="59" t="n"/>
      <c r="AB146" s="59" t="n"/>
      <c r="AC146" s="59" t="n"/>
      <c r="AD146" s="59" t="n"/>
      <c r="AE146" s="59" t="n"/>
      <c r="AF146" s="59" t="n"/>
      <c r="AG146" s="59" t="n"/>
      <c r="AH146" s="59" t="n"/>
    </row>
    <row r="147" ht="14.25" customHeight="1">
      <c r="A147" s="62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66" t="n"/>
      <c r="R147" s="66" t="n"/>
      <c r="S147" s="66" t="n"/>
      <c r="T147" s="59" t="n"/>
      <c r="U147" s="59" t="n"/>
      <c r="V147" s="59" t="n"/>
      <c r="W147" s="66" t="n"/>
      <c r="X147" s="59" t="n"/>
      <c r="Y147" s="59" t="n"/>
      <c r="Z147" s="59" t="n"/>
      <c r="AA147" s="59" t="n"/>
      <c r="AB147" s="59" t="n"/>
      <c r="AC147" s="59" t="n"/>
      <c r="AD147" s="59" t="n"/>
      <c r="AE147" s="59" t="n"/>
      <c r="AF147" s="59" t="n"/>
      <c r="AG147" s="59" t="n"/>
      <c r="AH147" s="59" t="n"/>
    </row>
    <row r="148" ht="14.25" customHeight="1">
      <c r="A148" s="62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66" t="n"/>
      <c r="R148" s="66" t="n"/>
      <c r="S148" s="66" t="n"/>
      <c r="T148" s="59" t="n"/>
      <c r="U148" s="59" t="n"/>
      <c r="V148" s="59" t="n"/>
      <c r="W148" s="66" t="n"/>
      <c r="X148" s="59" t="n"/>
      <c r="Y148" s="59" t="n"/>
      <c r="Z148" s="59" t="n"/>
      <c r="AA148" s="59" t="n"/>
      <c r="AB148" s="59" t="n"/>
      <c r="AC148" s="59" t="n"/>
      <c r="AD148" s="59" t="n"/>
      <c r="AE148" s="59" t="n"/>
      <c r="AF148" s="59" t="n"/>
      <c r="AG148" s="59" t="n"/>
      <c r="AH148" s="59" t="n"/>
    </row>
    <row r="149" ht="14.25" customHeight="1">
      <c r="A149" s="62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66" t="n"/>
      <c r="R149" s="66" t="n"/>
      <c r="S149" s="66" t="n"/>
      <c r="T149" s="59" t="n"/>
      <c r="U149" s="59" t="n"/>
      <c r="V149" s="59" t="n"/>
      <c r="W149" s="66" t="n"/>
      <c r="X149" s="59" t="n"/>
      <c r="Y149" s="59" t="n"/>
      <c r="Z149" s="59" t="n"/>
      <c r="AA149" s="59" t="n"/>
      <c r="AB149" s="59" t="n"/>
      <c r="AC149" s="59" t="n"/>
      <c r="AD149" s="59" t="n"/>
      <c r="AE149" s="59" t="n"/>
      <c r="AF149" s="59" t="n"/>
      <c r="AG149" s="59" t="n"/>
      <c r="AH149" s="59" t="n"/>
    </row>
    <row r="150" ht="14.25" customHeight="1">
      <c r="A150" s="62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66" t="n"/>
      <c r="R150" s="66" t="n"/>
      <c r="S150" s="66" t="n"/>
      <c r="T150" s="59" t="n"/>
      <c r="U150" s="59" t="n"/>
      <c r="V150" s="59" t="n"/>
      <c r="W150" s="66" t="n"/>
      <c r="X150" s="59" t="n"/>
      <c r="Y150" s="59" t="n"/>
      <c r="Z150" s="59" t="n"/>
      <c r="AA150" s="59" t="n"/>
      <c r="AB150" s="59" t="n"/>
      <c r="AC150" s="59" t="n"/>
      <c r="AD150" s="59" t="n"/>
      <c r="AE150" s="59" t="n"/>
      <c r="AF150" s="59" t="n"/>
      <c r="AG150" s="59" t="n"/>
      <c r="AH150" s="59" t="n"/>
    </row>
    <row r="151" ht="14.25" customHeight="1">
      <c r="A151" s="62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66" t="n"/>
      <c r="R151" s="66" t="n"/>
      <c r="S151" s="66" t="n"/>
      <c r="T151" s="59" t="n"/>
      <c r="U151" s="59" t="n"/>
      <c r="V151" s="59" t="n"/>
      <c r="W151" s="66" t="n"/>
      <c r="X151" s="59" t="n"/>
      <c r="Y151" s="59" t="n"/>
      <c r="Z151" s="59" t="n"/>
      <c r="AA151" s="59" t="n"/>
      <c r="AB151" s="59" t="n"/>
      <c r="AC151" s="59" t="n"/>
      <c r="AD151" s="59" t="n"/>
      <c r="AE151" s="59" t="n"/>
      <c r="AF151" s="59" t="n"/>
      <c r="AG151" s="59" t="n"/>
      <c r="AH151" s="59" t="n"/>
    </row>
    <row r="152" ht="14.25" customHeight="1">
      <c r="A152" s="62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66" t="n"/>
      <c r="R152" s="66" t="n"/>
      <c r="S152" s="66" t="n"/>
      <c r="T152" s="59" t="n"/>
      <c r="U152" s="59" t="n"/>
      <c r="V152" s="59" t="n"/>
      <c r="W152" s="66" t="n"/>
      <c r="X152" s="59" t="n"/>
      <c r="Y152" s="59" t="n"/>
      <c r="Z152" s="59" t="n"/>
      <c r="AA152" s="59" t="n"/>
      <c r="AB152" s="59" t="n"/>
      <c r="AC152" s="59" t="n"/>
      <c r="AD152" s="59" t="n"/>
      <c r="AE152" s="59" t="n"/>
      <c r="AF152" s="59" t="n"/>
      <c r="AG152" s="59" t="n"/>
      <c r="AH152" s="59" t="n"/>
    </row>
    <row r="153" ht="14.25" customHeight="1">
      <c r="A153" s="62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66" t="n"/>
      <c r="R153" s="66" t="n"/>
      <c r="S153" s="66" t="n"/>
      <c r="T153" s="59" t="n"/>
      <c r="U153" s="59" t="n"/>
      <c r="V153" s="59" t="n"/>
      <c r="W153" s="66" t="n"/>
      <c r="X153" s="59" t="n"/>
      <c r="Y153" s="59" t="n"/>
      <c r="Z153" s="59" t="n"/>
      <c r="AA153" s="59" t="n"/>
      <c r="AB153" s="59" t="n"/>
      <c r="AC153" s="59" t="n"/>
      <c r="AD153" s="59" t="n"/>
      <c r="AE153" s="59" t="n"/>
      <c r="AF153" s="59" t="n"/>
      <c r="AG153" s="59" t="n"/>
      <c r="AH153" s="59" t="n"/>
    </row>
    <row r="154" ht="14.25" customHeight="1">
      <c r="A154" s="62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66" t="n"/>
      <c r="R154" s="66" t="n"/>
      <c r="S154" s="66" t="n"/>
      <c r="T154" s="59" t="n"/>
      <c r="U154" s="59" t="n"/>
      <c r="V154" s="59" t="n"/>
      <c r="W154" s="66" t="n"/>
      <c r="X154" s="59" t="n"/>
      <c r="Y154" s="59" t="n"/>
      <c r="Z154" s="59" t="n"/>
      <c r="AA154" s="59" t="n"/>
      <c r="AB154" s="59" t="n"/>
      <c r="AC154" s="59" t="n"/>
      <c r="AD154" s="59" t="n"/>
      <c r="AE154" s="59" t="n"/>
      <c r="AF154" s="59" t="n"/>
      <c r="AG154" s="59" t="n"/>
      <c r="AH154" s="59" t="n"/>
    </row>
    <row r="155" ht="14.25" customHeight="1">
      <c r="A155" s="62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66" t="n"/>
      <c r="R155" s="66" t="n"/>
      <c r="S155" s="66" t="n"/>
      <c r="T155" s="59" t="n"/>
      <c r="U155" s="59" t="n"/>
      <c r="V155" s="59" t="n"/>
      <c r="W155" s="66" t="n"/>
      <c r="X155" s="59" t="n"/>
      <c r="Y155" s="59" t="n"/>
      <c r="Z155" s="59" t="n"/>
      <c r="AA155" s="59" t="n"/>
      <c r="AB155" s="59" t="n"/>
      <c r="AC155" s="59" t="n"/>
      <c r="AD155" s="59" t="n"/>
      <c r="AE155" s="59" t="n"/>
      <c r="AF155" s="59" t="n"/>
      <c r="AG155" s="59" t="n"/>
      <c r="AH155" s="59" t="n"/>
    </row>
    <row r="156" ht="14.25" customHeight="1">
      <c r="A156" s="62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66" t="n"/>
      <c r="R156" s="66" t="n"/>
      <c r="S156" s="66" t="n"/>
      <c r="T156" s="59" t="n"/>
      <c r="U156" s="59" t="n"/>
      <c r="V156" s="59" t="n"/>
      <c r="W156" s="66" t="n"/>
      <c r="X156" s="59" t="n"/>
      <c r="Y156" s="59" t="n"/>
      <c r="Z156" s="59" t="n"/>
      <c r="AA156" s="59" t="n"/>
      <c r="AB156" s="59" t="n"/>
      <c r="AC156" s="59" t="n"/>
      <c r="AD156" s="59" t="n"/>
      <c r="AE156" s="59" t="n"/>
      <c r="AF156" s="59" t="n"/>
      <c r="AG156" s="59" t="n"/>
      <c r="AH156" s="59" t="n"/>
    </row>
    <row r="157" ht="14.25" customHeight="1">
      <c r="A157" s="62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66" t="n"/>
      <c r="R157" s="66" t="n"/>
      <c r="S157" s="66" t="n"/>
      <c r="T157" s="59" t="n"/>
      <c r="U157" s="59" t="n"/>
      <c r="V157" s="59" t="n"/>
      <c r="W157" s="66" t="n"/>
      <c r="X157" s="59" t="n"/>
      <c r="Y157" s="59" t="n"/>
      <c r="Z157" s="59" t="n"/>
      <c r="AA157" s="59" t="n"/>
      <c r="AB157" s="59" t="n"/>
      <c r="AC157" s="59" t="n"/>
      <c r="AD157" s="59" t="n"/>
      <c r="AE157" s="59" t="n"/>
      <c r="AF157" s="59" t="n"/>
      <c r="AG157" s="59" t="n"/>
      <c r="AH157" s="59" t="n"/>
    </row>
    <row r="158" ht="14.25" customHeight="1">
      <c r="A158" s="62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66" t="n"/>
      <c r="R158" s="66" t="n"/>
      <c r="S158" s="66" t="n"/>
      <c r="T158" s="59" t="n"/>
      <c r="U158" s="59" t="n"/>
      <c r="V158" s="59" t="n"/>
      <c r="W158" s="66" t="n"/>
      <c r="X158" s="59" t="n"/>
      <c r="Y158" s="59" t="n"/>
      <c r="Z158" s="59" t="n"/>
      <c r="AA158" s="59" t="n"/>
      <c r="AB158" s="59" t="n"/>
      <c r="AC158" s="59" t="n"/>
      <c r="AD158" s="59" t="n"/>
      <c r="AE158" s="59" t="n"/>
      <c r="AF158" s="59" t="n"/>
      <c r="AG158" s="59" t="n"/>
      <c r="AH158" s="59" t="n"/>
    </row>
    <row r="159" ht="14.25" customHeight="1">
      <c r="A159" s="62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66" t="n"/>
      <c r="R159" s="66" t="n"/>
      <c r="S159" s="66" t="n"/>
      <c r="T159" s="59" t="n"/>
      <c r="U159" s="59" t="n"/>
      <c r="V159" s="59" t="n"/>
      <c r="W159" s="66" t="n"/>
      <c r="X159" s="59" t="n"/>
      <c r="Y159" s="59" t="n"/>
      <c r="Z159" s="59" t="n"/>
      <c r="AA159" s="59" t="n"/>
      <c r="AB159" s="59" t="n"/>
      <c r="AC159" s="59" t="n"/>
      <c r="AD159" s="59" t="n"/>
      <c r="AE159" s="59" t="n"/>
      <c r="AF159" s="59" t="n"/>
      <c r="AG159" s="59" t="n"/>
      <c r="AH159" s="59" t="n"/>
    </row>
    <row r="160" ht="14.25" customHeight="1">
      <c r="A160" s="62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66" t="n"/>
      <c r="R160" s="66" t="n"/>
      <c r="S160" s="66" t="n"/>
      <c r="T160" s="59" t="n"/>
      <c r="U160" s="59" t="n"/>
      <c r="V160" s="59" t="n"/>
      <c r="W160" s="66" t="n"/>
      <c r="X160" s="59" t="n"/>
      <c r="Y160" s="59" t="n"/>
      <c r="Z160" s="59" t="n"/>
      <c r="AA160" s="59" t="n"/>
      <c r="AB160" s="59" t="n"/>
      <c r="AC160" s="59" t="n"/>
      <c r="AD160" s="59" t="n"/>
      <c r="AE160" s="59" t="n"/>
      <c r="AF160" s="59" t="n"/>
      <c r="AG160" s="59" t="n"/>
      <c r="AH160" s="59" t="n"/>
    </row>
    <row r="161" ht="14.25" customHeight="1">
      <c r="A161" s="62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66" t="n"/>
      <c r="R161" s="66" t="n"/>
      <c r="S161" s="66" t="n"/>
      <c r="T161" s="59" t="n"/>
      <c r="U161" s="59" t="n"/>
      <c r="V161" s="59" t="n"/>
      <c r="W161" s="66" t="n"/>
      <c r="X161" s="59" t="n"/>
      <c r="Y161" s="59" t="n"/>
      <c r="Z161" s="59" t="n"/>
      <c r="AA161" s="59" t="n"/>
      <c r="AB161" s="59" t="n"/>
      <c r="AC161" s="59" t="n"/>
      <c r="AD161" s="59" t="n"/>
      <c r="AE161" s="59" t="n"/>
      <c r="AF161" s="59" t="n"/>
      <c r="AG161" s="59" t="n"/>
      <c r="AH161" s="59" t="n"/>
    </row>
    <row r="162" ht="14.25" customHeight="1">
      <c r="A162" s="62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66" t="n"/>
      <c r="R162" s="66" t="n"/>
      <c r="S162" s="66" t="n"/>
      <c r="T162" s="59" t="n"/>
      <c r="U162" s="59" t="n"/>
      <c r="V162" s="59" t="n"/>
      <c r="W162" s="66" t="n"/>
      <c r="X162" s="59" t="n"/>
      <c r="Y162" s="59" t="n"/>
      <c r="Z162" s="59" t="n"/>
      <c r="AA162" s="59" t="n"/>
      <c r="AB162" s="59" t="n"/>
      <c r="AC162" s="59" t="n"/>
      <c r="AD162" s="59" t="n"/>
      <c r="AE162" s="59" t="n"/>
      <c r="AF162" s="59" t="n"/>
      <c r="AG162" s="59" t="n"/>
      <c r="AH162" s="59" t="n"/>
    </row>
    <row r="163" ht="14.25" customHeight="1">
      <c r="A163" s="62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66" t="n"/>
      <c r="R163" s="66" t="n"/>
      <c r="S163" s="66" t="n"/>
      <c r="T163" s="59" t="n"/>
      <c r="U163" s="59" t="n"/>
      <c r="V163" s="59" t="n"/>
      <c r="W163" s="66" t="n"/>
      <c r="X163" s="59" t="n"/>
      <c r="Y163" s="59" t="n"/>
      <c r="Z163" s="59" t="n"/>
      <c r="AA163" s="59" t="n"/>
      <c r="AB163" s="59" t="n"/>
      <c r="AC163" s="59" t="n"/>
      <c r="AD163" s="59" t="n"/>
      <c r="AE163" s="59" t="n"/>
      <c r="AF163" s="59" t="n"/>
      <c r="AG163" s="59" t="n"/>
      <c r="AH163" s="59" t="n"/>
    </row>
    <row r="164" ht="14.25" customHeight="1">
      <c r="A164" s="62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66" t="n"/>
      <c r="R164" s="66" t="n"/>
      <c r="S164" s="66" t="n"/>
      <c r="T164" s="59" t="n"/>
      <c r="U164" s="59" t="n"/>
      <c r="V164" s="59" t="n"/>
      <c r="W164" s="66" t="n"/>
      <c r="X164" s="59" t="n"/>
      <c r="Y164" s="59" t="n"/>
      <c r="Z164" s="59" t="n"/>
      <c r="AA164" s="59" t="n"/>
      <c r="AB164" s="59" t="n"/>
      <c r="AC164" s="59" t="n"/>
      <c r="AD164" s="59" t="n"/>
      <c r="AE164" s="59" t="n"/>
      <c r="AF164" s="59" t="n"/>
      <c r="AG164" s="59" t="n"/>
      <c r="AH164" s="59" t="n"/>
    </row>
    <row r="165" ht="14.25" customHeight="1">
      <c r="A165" s="62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66" t="n"/>
      <c r="R165" s="66" t="n"/>
      <c r="S165" s="66" t="n"/>
      <c r="T165" s="59" t="n"/>
      <c r="U165" s="59" t="n"/>
      <c r="V165" s="59" t="n"/>
      <c r="W165" s="66" t="n"/>
      <c r="X165" s="59" t="n"/>
      <c r="Y165" s="59" t="n"/>
      <c r="Z165" s="59" t="n"/>
      <c r="AA165" s="59" t="n"/>
      <c r="AB165" s="59" t="n"/>
      <c r="AC165" s="59" t="n"/>
      <c r="AD165" s="59" t="n"/>
      <c r="AE165" s="59" t="n"/>
      <c r="AF165" s="59" t="n"/>
      <c r="AG165" s="59" t="n"/>
      <c r="AH165" s="59" t="n"/>
    </row>
    <row r="166" ht="14.25" customHeight="1">
      <c r="A166" s="62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66" t="n"/>
      <c r="R166" s="66" t="n"/>
      <c r="S166" s="66" t="n"/>
      <c r="T166" s="59" t="n"/>
      <c r="U166" s="59" t="n"/>
      <c r="V166" s="59" t="n"/>
      <c r="W166" s="66" t="n"/>
      <c r="X166" s="59" t="n"/>
      <c r="Y166" s="59" t="n"/>
      <c r="Z166" s="59" t="n"/>
      <c r="AA166" s="59" t="n"/>
      <c r="AB166" s="59" t="n"/>
      <c r="AC166" s="59" t="n"/>
      <c r="AD166" s="59" t="n"/>
      <c r="AE166" s="59" t="n"/>
      <c r="AF166" s="59" t="n"/>
      <c r="AG166" s="59" t="n"/>
      <c r="AH166" s="59" t="n"/>
    </row>
    <row r="167" ht="14.25" customHeight="1">
      <c r="A167" s="62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66" t="n"/>
      <c r="R167" s="66" t="n"/>
      <c r="S167" s="66" t="n"/>
      <c r="T167" s="59" t="n"/>
      <c r="U167" s="59" t="n"/>
      <c r="V167" s="59" t="n"/>
      <c r="W167" s="66" t="n"/>
      <c r="X167" s="59" t="n"/>
      <c r="Y167" s="59" t="n"/>
      <c r="Z167" s="59" t="n"/>
      <c r="AA167" s="59" t="n"/>
      <c r="AB167" s="59" t="n"/>
      <c r="AC167" s="59" t="n"/>
      <c r="AD167" s="59" t="n"/>
      <c r="AE167" s="59" t="n"/>
      <c r="AF167" s="59" t="n"/>
      <c r="AG167" s="59" t="n"/>
      <c r="AH167" s="59" t="n"/>
    </row>
    <row r="168" ht="14.25" customHeight="1">
      <c r="A168" s="62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66" t="n"/>
      <c r="R168" s="66" t="n"/>
      <c r="S168" s="66" t="n"/>
      <c r="T168" s="59" t="n"/>
      <c r="U168" s="59" t="n"/>
      <c r="V168" s="59" t="n"/>
      <c r="W168" s="66" t="n"/>
      <c r="X168" s="59" t="n"/>
      <c r="Y168" s="59" t="n"/>
      <c r="Z168" s="59" t="n"/>
      <c r="AA168" s="59" t="n"/>
      <c r="AB168" s="59" t="n"/>
      <c r="AC168" s="59" t="n"/>
      <c r="AD168" s="59" t="n"/>
      <c r="AE168" s="59" t="n"/>
      <c r="AF168" s="59" t="n"/>
      <c r="AG168" s="59" t="n"/>
      <c r="AH168" s="59" t="n"/>
    </row>
    <row r="169" ht="14.25" customHeight="1">
      <c r="A169" s="62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66" t="n"/>
      <c r="R169" s="66" t="n"/>
      <c r="S169" s="66" t="n"/>
      <c r="T169" s="59" t="n"/>
      <c r="U169" s="59" t="n"/>
      <c r="V169" s="59" t="n"/>
      <c r="W169" s="66" t="n"/>
      <c r="X169" s="59" t="n"/>
      <c r="Y169" s="59" t="n"/>
      <c r="Z169" s="59" t="n"/>
      <c r="AA169" s="59" t="n"/>
      <c r="AB169" s="59" t="n"/>
      <c r="AC169" s="59" t="n"/>
      <c r="AD169" s="59" t="n"/>
      <c r="AE169" s="59" t="n"/>
      <c r="AF169" s="59" t="n"/>
      <c r="AG169" s="59" t="n"/>
      <c r="AH169" s="59" t="n"/>
    </row>
    <row r="170" ht="14.25" customHeight="1">
      <c r="A170" s="62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66" t="n"/>
      <c r="R170" s="66" t="n"/>
      <c r="S170" s="66" t="n"/>
      <c r="T170" s="59" t="n"/>
      <c r="U170" s="59" t="n"/>
      <c r="V170" s="59" t="n"/>
      <c r="W170" s="66" t="n"/>
      <c r="X170" s="59" t="n"/>
      <c r="Y170" s="59" t="n"/>
      <c r="Z170" s="59" t="n"/>
      <c r="AA170" s="59" t="n"/>
      <c r="AB170" s="59" t="n"/>
      <c r="AC170" s="59" t="n"/>
      <c r="AD170" s="59" t="n"/>
      <c r="AE170" s="59" t="n"/>
      <c r="AF170" s="59" t="n"/>
      <c r="AG170" s="59" t="n"/>
      <c r="AH170" s="59" t="n"/>
    </row>
    <row r="171" ht="14.25" customHeight="1">
      <c r="A171" s="62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66" t="n"/>
      <c r="R171" s="66" t="n"/>
      <c r="S171" s="66" t="n"/>
      <c r="T171" s="59" t="n"/>
      <c r="U171" s="59" t="n"/>
      <c r="V171" s="59" t="n"/>
      <c r="W171" s="66" t="n"/>
      <c r="X171" s="59" t="n"/>
      <c r="Y171" s="59" t="n"/>
      <c r="Z171" s="59" t="n"/>
      <c r="AA171" s="59" t="n"/>
      <c r="AB171" s="59" t="n"/>
      <c r="AC171" s="59" t="n"/>
      <c r="AD171" s="59" t="n"/>
      <c r="AE171" s="59" t="n"/>
      <c r="AF171" s="59" t="n"/>
      <c r="AG171" s="59" t="n"/>
      <c r="AH171" s="59" t="n"/>
    </row>
    <row r="172" ht="14.25" customHeight="1">
      <c r="A172" s="62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66" t="n"/>
      <c r="R172" s="66" t="n"/>
      <c r="S172" s="66" t="n"/>
      <c r="T172" s="59" t="n"/>
      <c r="U172" s="59" t="n"/>
      <c r="V172" s="59" t="n"/>
      <c r="W172" s="66" t="n"/>
      <c r="X172" s="59" t="n"/>
      <c r="Y172" s="59" t="n"/>
      <c r="Z172" s="59" t="n"/>
      <c r="AA172" s="59" t="n"/>
      <c r="AB172" s="59" t="n"/>
      <c r="AC172" s="59" t="n"/>
      <c r="AD172" s="59" t="n"/>
      <c r="AE172" s="59" t="n"/>
      <c r="AF172" s="59" t="n"/>
      <c r="AG172" s="59" t="n"/>
      <c r="AH172" s="59" t="n"/>
    </row>
    <row r="173" ht="14.25" customHeight="1">
      <c r="A173" s="62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66" t="n"/>
      <c r="R173" s="66" t="n"/>
      <c r="S173" s="66" t="n"/>
      <c r="T173" s="59" t="n"/>
      <c r="U173" s="59" t="n"/>
      <c r="V173" s="59" t="n"/>
      <c r="W173" s="66" t="n"/>
      <c r="X173" s="59" t="n"/>
      <c r="Y173" s="59" t="n"/>
      <c r="Z173" s="59" t="n"/>
      <c r="AA173" s="59" t="n"/>
      <c r="AB173" s="59" t="n"/>
      <c r="AC173" s="59" t="n"/>
      <c r="AD173" s="59" t="n"/>
      <c r="AE173" s="59" t="n"/>
      <c r="AF173" s="59" t="n"/>
      <c r="AG173" s="59" t="n"/>
      <c r="AH173" s="59" t="n"/>
    </row>
    <row r="174" ht="14.25" customHeight="1">
      <c r="A174" s="62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66" t="n"/>
      <c r="R174" s="66" t="n"/>
      <c r="S174" s="66" t="n"/>
      <c r="T174" s="59" t="n"/>
      <c r="U174" s="59" t="n"/>
      <c r="V174" s="59" t="n"/>
      <c r="W174" s="66" t="n"/>
      <c r="X174" s="59" t="n"/>
      <c r="Y174" s="59" t="n"/>
      <c r="Z174" s="59" t="n"/>
      <c r="AA174" s="59" t="n"/>
      <c r="AB174" s="59" t="n"/>
      <c r="AC174" s="59" t="n"/>
      <c r="AD174" s="59" t="n"/>
      <c r="AE174" s="59" t="n"/>
      <c r="AF174" s="59" t="n"/>
      <c r="AG174" s="59" t="n"/>
      <c r="AH174" s="59" t="n"/>
    </row>
    <row r="175" ht="14.25" customHeight="1">
      <c r="A175" s="62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66" t="n"/>
      <c r="R175" s="66" t="n"/>
      <c r="S175" s="66" t="n"/>
      <c r="T175" s="59" t="n"/>
      <c r="U175" s="59" t="n"/>
      <c r="V175" s="59" t="n"/>
      <c r="W175" s="66" t="n"/>
      <c r="X175" s="59" t="n"/>
      <c r="Y175" s="59" t="n"/>
      <c r="Z175" s="59" t="n"/>
      <c r="AA175" s="59" t="n"/>
      <c r="AB175" s="59" t="n"/>
      <c r="AC175" s="59" t="n"/>
      <c r="AD175" s="59" t="n"/>
      <c r="AE175" s="59" t="n"/>
      <c r="AF175" s="59" t="n"/>
      <c r="AG175" s="59" t="n"/>
      <c r="AH175" s="59" t="n"/>
    </row>
    <row r="176" ht="14.25" customHeight="1">
      <c r="A176" s="62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66" t="n"/>
      <c r="R176" s="66" t="n"/>
      <c r="S176" s="66" t="n"/>
      <c r="T176" s="59" t="n"/>
      <c r="U176" s="59" t="n"/>
      <c r="V176" s="59" t="n"/>
      <c r="W176" s="66" t="n"/>
      <c r="X176" s="59" t="n"/>
      <c r="Y176" s="59" t="n"/>
      <c r="Z176" s="59" t="n"/>
      <c r="AA176" s="59" t="n"/>
      <c r="AB176" s="59" t="n"/>
      <c r="AC176" s="59" t="n"/>
      <c r="AD176" s="59" t="n"/>
      <c r="AE176" s="59" t="n"/>
      <c r="AF176" s="59" t="n"/>
      <c r="AG176" s="59" t="n"/>
      <c r="AH176" s="59" t="n"/>
    </row>
    <row r="177" ht="14.25" customHeight="1">
      <c r="A177" s="62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66" t="n"/>
      <c r="R177" s="66" t="n"/>
      <c r="S177" s="66" t="n"/>
      <c r="T177" s="59" t="n"/>
      <c r="U177" s="59" t="n"/>
      <c r="V177" s="59" t="n"/>
      <c r="W177" s="66" t="n"/>
      <c r="X177" s="59" t="n"/>
      <c r="Y177" s="59" t="n"/>
      <c r="Z177" s="59" t="n"/>
      <c r="AA177" s="59" t="n"/>
      <c r="AB177" s="59" t="n"/>
      <c r="AC177" s="59" t="n"/>
      <c r="AD177" s="59" t="n"/>
      <c r="AE177" s="59" t="n"/>
      <c r="AF177" s="59" t="n"/>
      <c r="AG177" s="59" t="n"/>
      <c r="AH177" s="59" t="n"/>
    </row>
    <row r="178" ht="14.25" customHeight="1">
      <c r="A178" s="62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66" t="n"/>
      <c r="R178" s="66" t="n"/>
      <c r="S178" s="66" t="n"/>
      <c r="T178" s="59" t="n"/>
      <c r="U178" s="59" t="n"/>
      <c r="V178" s="59" t="n"/>
      <c r="W178" s="66" t="n"/>
      <c r="X178" s="59" t="n"/>
      <c r="Y178" s="59" t="n"/>
      <c r="Z178" s="59" t="n"/>
      <c r="AA178" s="59" t="n"/>
      <c r="AB178" s="59" t="n"/>
      <c r="AC178" s="59" t="n"/>
      <c r="AD178" s="59" t="n"/>
      <c r="AE178" s="59" t="n"/>
      <c r="AF178" s="59" t="n"/>
      <c r="AG178" s="59" t="n"/>
      <c r="AH178" s="59" t="n"/>
    </row>
    <row r="179" ht="14.25" customHeight="1">
      <c r="A179" s="62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66" t="n"/>
      <c r="R179" s="66" t="n"/>
      <c r="S179" s="66" t="n"/>
      <c r="T179" s="59" t="n"/>
      <c r="U179" s="59" t="n"/>
      <c r="V179" s="59" t="n"/>
      <c r="W179" s="66" t="n"/>
      <c r="X179" s="59" t="n"/>
      <c r="Y179" s="59" t="n"/>
      <c r="Z179" s="59" t="n"/>
      <c r="AA179" s="59" t="n"/>
      <c r="AB179" s="59" t="n"/>
      <c r="AC179" s="59" t="n"/>
      <c r="AD179" s="59" t="n"/>
      <c r="AE179" s="59" t="n"/>
      <c r="AF179" s="59" t="n"/>
      <c r="AG179" s="59" t="n"/>
      <c r="AH179" s="59" t="n"/>
    </row>
    <row r="180" ht="14.25" customHeight="1">
      <c r="A180" s="62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66" t="n"/>
      <c r="R180" s="66" t="n"/>
      <c r="S180" s="66" t="n"/>
      <c r="T180" s="59" t="n"/>
      <c r="U180" s="59" t="n"/>
      <c r="V180" s="59" t="n"/>
      <c r="W180" s="66" t="n"/>
      <c r="X180" s="59" t="n"/>
      <c r="Y180" s="59" t="n"/>
      <c r="Z180" s="59" t="n"/>
      <c r="AA180" s="59" t="n"/>
      <c r="AB180" s="59" t="n"/>
      <c r="AC180" s="59" t="n"/>
      <c r="AD180" s="59" t="n"/>
      <c r="AE180" s="59" t="n"/>
      <c r="AF180" s="59" t="n"/>
      <c r="AG180" s="59" t="n"/>
      <c r="AH180" s="59" t="n"/>
    </row>
    <row r="181" ht="14.25" customHeight="1">
      <c r="A181" s="62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66" t="n"/>
      <c r="R181" s="66" t="n"/>
      <c r="S181" s="66" t="n"/>
      <c r="T181" s="59" t="n"/>
      <c r="U181" s="59" t="n"/>
      <c r="V181" s="59" t="n"/>
      <c r="W181" s="66" t="n"/>
      <c r="X181" s="59" t="n"/>
      <c r="Y181" s="59" t="n"/>
      <c r="Z181" s="59" t="n"/>
      <c r="AA181" s="59" t="n"/>
      <c r="AB181" s="59" t="n"/>
      <c r="AC181" s="59" t="n"/>
      <c r="AD181" s="59" t="n"/>
      <c r="AE181" s="59" t="n"/>
      <c r="AF181" s="59" t="n"/>
      <c r="AG181" s="59" t="n"/>
      <c r="AH181" s="59" t="n"/>
    </row>
    <row r="182" ht="14.25" customHeight="1">
      <c r="A182" s="62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66" t="n"/>
      <c r="R182" s="66" t="n"/>
      <c r="S182" s="66" t="n"/>
      <c r="T182" s="59" t="n"/>
      <c r="U182" s="59" t="n"/>
      <c r="V182" s="59" t="n"/>
      <c r="W182" s="66" t="n"/>
      <c r="X182" s="59" t="n"/>
      <c r="Y182" s="59" t="n"/>
      <c r="Z182" s="59" t="n"/>
      <c r="AA182" s="59" t="n"/>
      <c r="AB182" s="59" t="n"/>
      <c r="AC182" s="59" t="n"/>
      <c r="AD182" s="59" t="n"/>
      <c r="AE182" s="59" t="n"/>
      <c r="AF182" s="59" t="n"/>
      <c r="AG182" s="59" t="n"/>
      <c r="AH182" s="59" t="n"/>
    </row>
    <row r="183" ht="14.25" customHeight="1">
      <c r="A183" s="62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66" t="n"/>
      <c r="R183" s="66" t="n"/>
      <c r="S183" s="66" t="n"/>
      <c r="T183" s="59" t="n"/>
      <c r="U183" s="59" t="n"/>
      <c r="V183" s="59" t="n"/>
      <c r="W183" s="66" t="n"/>
      <c r="X183" s="59" t="n"/>
      <c r="Y183" s="59" t="n"/>
      <c r="Z183" s="59" t="n"/>
      <c r="AA183" s="59" t="n"/>
      <c r="AB183" s="59" t="n"/>
      <c r="AC183" s="59" t="n"/>
      <c r="AD183" s="59" t="n"/>
      <c r="AE183" s="59" t="n"/>
      <c r="AF183" s="59" t="n"/>
      <c r="AG183" s="59" t="n"/>
      <c r="AH183" s="59" t="n"/>
    </row>
    <row r="184" ht="14.25" customHeight="1">
      <c r="A184" s="62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66" t="n"/>
      <c r="R184" s="66" t="n"/>
      <c r="S184" s="66" t="n"/>
      <c r="T184" s="59" t="n"/>
      <c r="U184" s="59" t="n"/>
      <c r="V184" s="59" t="n"/>
      <c r="W184" s="66" t="n"/>
      <c r="X184" s="59" t="n"/>
      <c r="Y184" s="59" t="n"/>
      <c r="Z184" s="59" t="n"/>
      <c r="AA184" s="59" t="n"/>
      <c r="AB184" s="59" t="n"/>
      <c r="AC184" s="59" t="n"/>
      <c r="AD184" s="59" t="n"/>
      <c r="AE184" s="59" t="n"/>
      <c r="AF184" s="59" t="n"/>
      <c r="AG184" s="59" t="n"/>
      <c r="AH184" s="59" t="n"/>
    </row>
    <row r="185" ht="14.25" customHeight="1">
      <c r="A185" s="62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66" t="n"/>
      <c r="R185" s="66" t="n"/>
      <c r="S185" s="66" t="n"/>
      <c r="T185" s="59" t="n"/>
      <c r="U185" s="59" t="n"/>
      <c r="V185" s="59" t="n"/>
      <c r="W185" s="66" t="n"/>
      <c r="X185" s="59" t="n"/>
      <c r="Y185" s="59" t="n"/>
      <c r="Z185" s="59" t="n"/>
      <c r="AA185" s="59" t="n"/>
      <c r="AB185" s="59" t="n"/>
      <c r="AC185" s="59" t="n"/>
      <c r="AD185" s="59" t="n"/>
      <c r="AE185" s="59" t="n"/>
      <c r="AF185" s="59" t="n"/>
      <c r="AG185" s="59" t="n"/>
      <c r="AH185" s="59" t="n"/>
    </row>
    <row r="186" ht="14.25" customHeight="1">
      <c r="A186" s="62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66" t="n"/>
      <c r="R186" s="66" t="n"/>
      <c r="S186" s="66" t="n"/>
      <c r="T186" s="59" t="n"/>
      <c r="U186" s="59" t="n"/>
      <c r="V186" s="59" t="n"/>
      <c r="W186" s="66" t="n"/>
      <c r="X186" s="59" t="n"/>
      <c r="Y186" s="59" t="n"/>
      <c r="Z186" s="59" t="n"/>
      <c r="AA186" s="59" t="n"/>
      <c r="AB186" s="59" t="n"/>
      <c r="AC186" s="59" t="n"/>
      <c r="AD186" s="59" t="n"/>
      <c r="AE186" s="59" t="n"/>
      <c r="AF186" s="59" t="n"/>
      <c r="AG186" s="59" t="n"/>
      <c r="AH186" s="59" t="n"/>
    </row>
    <row r="187" ht="14.25" customHeight="1">
      <c r="A187" s="62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66" t="n"/>
      <c r="R187" s="66" t="n"/>
      <c r="S187" s="66" t="n"/>
      <c r="T187" s="59" t="n"/>
      <c r="U187" s="59" t="n"/>
      <c r="V187" s="59" t="n"/>
      <c r="W187" s="66" t="n"/>
      <c r="X187" s="59" t="n"/>
      <c r="Y187" s="59" t="n"/>
      <c r="Z187" s="59" t="n"/>
      <c r="AA187" s="59" t="n"/>
      <c r="AB187" s="59" t="n"/>
      <c r="AC187" s="59" t="n"/>
      <c r="AD187" s="59" t="n"/>
      <c r="AE187" s="59" t="n"/>
      <c r="AF187" s="59" t="n"/>
      <c r="AG187" s="59" t="n"/>
      <c r="AH187" s="59" t="n"/>
    </row>
    <row r="188" ht="14.25" customHeight="1">
      <c r="A188" s="62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66" t="n"/>
      <c r="R188" s="66" t="n"/>
      <c r="S188" s="66" t="n"/>
      <c r="T188" s="59" t="n"/>
      <c r="U188" s="59" t="n"/>
      <c r="V188" s="59" t="n"/>
      <c r="W188" s="66" t="n"/>
      <c r="X188" s="59" t="n"/>
      <c r="Y188" s="59" t="n"/>
      <c r="Z188" s="59" t="n"/>
      <c r="AA188" s="59" t="n"/>
      <c r="AB188" s="59" t="n"/>
      <c r="AC188" s="59" t="n"/>
      <c r="AD188" s="59" t="n"/>
      <c r="AE188" s="59" t="n"/>
      <c r="AF188" s="59" t="n"/>
      <c r="AG188" s="59" t="n"/>
      <c r="AH188" s="59" t="n"/>
    </row>
    <row r="189" ht="14.25" customHeight="1">
      <c r="A189" s="62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66" t="n"/>
      <c r="R189" s="66" t="n"/>
      <c r="S189" s="66" t="n"/>
      <c r="T189" s="59" t="n"/>
      <c r="U189" s="59" t="n"/>
      <c r="V189" s="59" t="n"/>
      <c r="W189" s="66" t="n"/>
      <c r="X189" s="59" t="n"/>
      <c r="Y189" s="59" t="n"/>
      <c r="Z189" s="59" t="n"/>
      <c r="AA189" s="59" t="n"/>
      <c r="AB189" s="59" t="n"/>
      <c r="AC189" s="59" t="n"/>
      <c r="AD189" s="59" t="n"/>
      <c r="AE189" s="59" t="n"/>
      <c r="AF189" s="59" t="n"/>
      <c r="AG189" s="59" t="n"/>
      <c r="AH189" s="59" t="n"/>
    </row>
    <row r="190" ht="14.25" customHeight="1">
      <c r="A190" s="62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66" t="n"/>
      <c r="R190" s="66" t="n"/>
      <c r="S190" s="66" t="n"/>
      <c r="T190" s="59" t="n"/>
      <c r="U190" s="59" t="n"/>
      <c r="V190" s="59" t="n"/>
      <c r="W190" s="66" t="n"/>
      <c r="X190" s="59" t="n"/>
      <c r="Y190" s="59" t="n"/>
      <c r="Z190" s="59" t="n"/>
      <c r="AA190" s="59" t="n"/>
      <c r="AB190" s="59" t="n"/>
      <c r="AC190" s="59" t="n"/>
      <c r="AD190" s="59" t="n"/>
      <c r="AE190" s="59" t="n"/>
      <c r="AF190" s="59" t="n"/>
      <c r="AG190" s="59" t="n"/>
      <c r="AH190" s="59" t="n"/>
    </row>
    <row r="191" ht="14.25" customHeight="1">
      <c r="A191" s="62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66" t="n"/>
      <c r="R191" s="66" t="n"/>
      <c r="S191" s="66" t="n"/>
      <c r="T191" s="59" t="n"/>
      <c r="U191" s="59" t="n"/>
      <c r="V191" s="59" t="n"/>
      <c r="W191" s="66" t="n"/>
      <c r="X191" s="59" t="n"/>
      <c r="Y191" s="59" t="n"/>
      <c r="Z191" s="59" t="n"/>
      <c r="AA191" s="59" t="n"/>
      <c r="AB191" s="59" t="n"/>
      <c r="AC191" s="59" t="n"/>
      <c r="AD191" s="59" t="n"/>
      <c r="AE191" s="59" t="n"/>
      <c r="AF191" s="59" t="n"/>
      <c r="AG191" s="59" t="n"/>
      <c r="AH191" s="59" t="n"/>
    </row>
    <row r="192" ht="14.25" customHeight="1">
      <c r="A192" s="62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66" t="n"/>
      <c r="R192" s="66" t="n"/>
      <c r="S192" s="66" t="n"/>
      <c r="T192" s="59" t="n"/>
      <c r="U192" s="59" t="n"/>
      <c r="V192" s="59" t="n"/>
      <c r="W192" s="66" t="n"/>
      <c r="X192" s="59" t="n"/>
      <c r="Y192" s="59" t="n"/>
      <c r="Z192" s="59" t="n"/>
      <c r="AA192" s="59" t="n"/>
      <c r="AB192" s="59" t="n"/>
      <c r="AC192" s="59" t="n"/>
      <c r="AD192" s="59" t="n"/>
      <c r="AE192" s="59" t="n"/>
      <c r="AF192" s="59" t="n"/>
      <c r="AG192" s="59" t="n"/>
      <c r="AH192" s="59" t="n"/>
    </row>
    <row r="193" ht="14.25" customHeight="1">
      <c r="A193" s="62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66" t="n"/>
      <c r="R193" s="66" t="n"/>
      <c r="S193" s="66" t="n"/>
      <c r="T193" s="59" t="n"/>
      <c r="U193" s="59" t="n"/>
      <c r="V193" s="59" t="n"/>
      <c r="W193" s="66" t="n"/>
      <c r="X193" s="59" t="n"/>
      <c r="Y193" s="59" t="n"/>
      <c r="Z193" s="59" t="n"/>
      <c r="AA193" s="59" t="n"/>
      <c r="AB193" s="59" t="n"/>
      <c r="AC193" s="59" t="n"/>
      <c r="AD193" s="59" t="n"/>
      <c r="AE193" s="59" t="n"/>
      <c r="AF193" s="59" t="n"/>
      <c r="AG193" s="59" t="n"/>
      <c r="AH193" s="59" t="n"/>
    </row>
    <row r="194" ht="14.25" customHeight="1">
      <c r="A194" s="62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66" t="n"/>
      <c r="R194" s="66" t="n"/>
      <c r="S194" s="66" t="n"/>
      <c r="T194" s="59" t="n"/>
      <c r="U194" s="59" t="n"/>
      <c r="V194" s="59" t="n"/>
      <c r="W194" s="66" t="n"/>
      <c r="X194" s="59" t="n"/>
      <c r="Y194" s="59" t="n"/>
      <c r="Z194" s="59" t="n"/>
      <c r="AA194" s="59" t="n"/>
      <c r="AB194" s="59" t="n"/>
      <c r="AC194" s="59" t="n"/>
      <c r="AD194" s="59" t="n"/>
      <c r="AE194" s="59" t="n"/>
      <c r="AF194" s="59" t="n"/>
      <c r="AG194" s="59" t="n"/>
      <c r="AH194" s="59" t="n"/>
    </row>
    <row r="195" ht="14.25" customHeight="1">
      <c r="A195" s="62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66" t="n"/>
      <c r="R195" s="66" t="n"/>
      <c r="S195" s="66" t="n"/>
      <c r="T195" s="59" t="n"/>
      <c r="U195" s="59" t="n"/>
      <c r="V195" s="59" t="n"/>
      <c r="W195" s="66" t="n"/>
      <c r="X195" s="59" t="n"/>
      <c r="Y195" s="59" t="n"/>
      <c r="Z195" s="59" t="n"/>
      <c r="AA195" s="59" t="n"/>
      <c r="AB195" s="59" t="n"/>
      <c r="AC195" s="59" t="n"/>
      <c r="AD195" s="59" t="n"/>
      <c r="AE195" s="59" t="n"/>
      <c r="AF195" s="59" t="n"/>
      <c r="AG195" s="59" t="n"/>
      <c r="AH195" s="59" t="n"/>
    </row>
    <row r="196" ht="14.25" customHeight="1">
      <c r="A196" s="62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66" t="n"/>
      <c r="R196" s="66" t="n"/>
      <c r="S196" s="66" t="n"/>
      <c r="T196" s="59" t="n"/>
      <c r="U196" s="59" t="n"/>
      <c r="V196" s="59" t="n"/>
      <c r="W196" s="66" t="n"/>
      <c r="X196" s="59" t="n"/>
      <c r="Y196" s="59" t="n"/>
      <c r="Z196" s="59" t="n"/>
      <c r="AA196" s="59" t="n"/>
      <c r="AB196" s="59" t="n"/>
      <c r="AC196" s="59" t="n"/>
      <c r="AD196" s="59" t="n"/>
      <c r="AE196" s="59" t="n"/>
      <c r="AF196" s="59" t="n"/>
      <c r="AG196" s="59" t="n"/>
      <c r="AH196" s="59" t="n"/>
    </row>
    <row r="197" ht="14.25" customHeight="1">
      <c r="A197" s="62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66" t="n"/>
      <c r="R197" s="66" t="n"/>
      <c r="S197" s="66" t="n"/>
      <c r="T197" s="59" t="n"/>
      <c r="U197" s="59" t="n"/>
      <c r="V197" s="59" t="n"/>
      <c r="W197" s="66" t="n"/>
      <c r="X197" s="59" t="n"/>
      <c r="Y197" s="59" t="n"/>
      <c r="Z197" s="59" t="n"/>
      <c r="AA197" s="59" t="n"/>
      <c r="AB197" s="59" t="n"/>
      <c r="AC197" s="59" t="n"/>
      <c r="AD197" s="59" t="n"/>
      <c r="AE197" s="59" t="n"/>
      <c r="AF197" s="59" t="n"/>
      <c r="AG197" s="59" t="n"/>
      <c r="AH197" s="59" t="n"/>
    </row>
    <row r="198" ht="14.25" customHeight="1">
      <c r="A198" s="62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66" t="n"/>
      <c r="R198" s="66" t="n"/>
      <c r="S198" s="66" t="n"/>
      <c r="T198" s="59" t="n"/>
      <c r="U198" s="59" t="n"/>
      <c r="V198" s="59" t="n"/>
      <c r="W198" s="66" t="n"/>
      <c r="X198" s="59" t="n"/>
      <c r="Y198" s="59" t="n"/>
      <c r="Z198" s="59" t="n"/>
      <c r="AA198" s="59" t="n"/>
      <c r="AB198" s="59" t="n"/>
      <c r="AC198" s="59" t="n"/>
      <c r="AD198" s="59" t="n"/>
      <c r="AE198" s="59" t="n"/>
      <c r="AF198" s="59" t="n"/>
      <c r="AG198" s="59" t="n"/>
      <c r="AH198" s="59" t="n"/>
    </row>
    <row r="199" ht="14.25" customHeight="1">
      <c r="A199" s="62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66" t="n"/>
      <c r="R199" s="66" t="n"/>
      <c r="S199" s="66" t="n"/>
      <c r="T199" s="59" t="n"/>
      <c r="U199" s="59" t="n"/>
      <c r="V199" s="59" t="n"/>
      <c r="W199" s="66" t="n"/>
      <c r="X199" s="59" t="n"/>
      <c r="Y199" s="59" t="n"/>
      <c r="Z199" s="59" t="n"/>
      <c r="AA199" s="59" t="n"/>
      <c r="AB199" s="59" t="n"/>
      <c r="AC199" s="59" t="n"/>
      <c r="AD199" s="59" t="n"/>
      <c r="AE199" s="59" t="n"/>
      <c r="AF199" s="59" t="n"/>
      <c r="AG199" s="59" t="n"/>
      <c r="AH199" s="59" t="n"/>
    </row>
    <row r="200" ht="14.25" customHeight="1">
      <c r="A200" s="62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66" t="n"/>
      <c r="R200" s="66" t="n"/>
      <c r="S200" s="66" t="n"/>
      <c r="T200" s="59" t="n"/>
      <c r="U200" s="59" t="n"/>
      <c r="V200" s="59" t="n"/>
      <c r="W200" s="66" t="n"/>
      <c r="X200" s="59" t="n"/>
      <c r="Y200" s="59" t="n"/>
      <c r="Z200" s="59" t="n"/>
      <c r="AA200" s="59" t="n"/>
      <c r="AB200" s="59" t="n"/>
      <c r="AC200" s="59" t="n"/>
      <c r="AD200" s="59" t="n"/>
      <c r="AE200" s="59" t="n"/>
      <c r="AF200" s="59" t="n"/>
      <c r="AG200" s="59" t="n"/>
      <c r="AH200" s="59" t="n"/>
    </row>
    <row r="201" ht="14.25" customHeight="1">
      <c r="A201" s="62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66" t="n"/>
      <c r="R201" s="66" t="n"/>
      <c r="S201" s="66" t="n"/>
      <c r="T201" s="59" t="n"/>
      <c r="U201" s="59" t="n"/>
      <c r="V201" s="59" t="n"/>
      <c r="W201" s="66" t="n"/>
      <c r="X201" s="59" t="n"/>
      <c r="Y201" s="59" t="n"/>
      <c r="Z201" s="59" t="n"/>
      <c r="AA201" s="59" t="n"/>
      <c r="AB201" s="59" t="n"/>
      <c r="AC201" s="59" t="n"/>
      <c r="AD201" s="59" t="n"/>
      <c r="AE201" s="59" t="n"/>
      <c r="AF201" s="59" t="n"/>
      <c r="AG201" s="59" t="n"/>
      <c r="AH201" s="59" t="n"/>
    </row>
    <row r="202" ht="14.25" customHeight="1">
      <c r="A202" s="62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66" t="n"/>
      <c r="R202" s="66" t="n"/>
      <c r="S202" s="66" t="n"/>
      <c r="T202" s="59" t="n"/>
      <c r="U202" s="59" t="n"/>
      <c r="V202" s="59" t="n"/>
      <c r="W202" s="66" t="n"/>
      <c r="X202" s="59" t="n"/>
      <c r="Y202" s="59" t="n"/>
      <c r="Z202" s="59" t="n"/>
      <c r="AA202" s="59" t="n"/>
      <c r="AB202" s="59" t="n"/>
      <c r="AC202" s="59" t="n"/>
      <c r="AD202" s="59" t="n"/>
      <c r="AE202" s="59" t="n"/>
      <c r="AF202" s="59" t="n"/>
      <c r="AG202" s="59" t="n"/>
      <c r="AH202" s="59" t="n"/>
    </row>
    <row r="203" ht="14.25" customHeight="1">
      <c r="A203" s="62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66" t="n"/>
      <c r="R203" s="66" t="n"/>
      <c r="S203" s="66" t="n"/>
      <c r="T203" s="59" t="n"/>
      <c r="U203" s="59" t="n"/>
      <c r="V203" s="59" t="n"/>
      <c r="W203" s="66" t="n"/>
      <c r="X203" s="59" t="n"/>
      <c r="Y203" s="59" t="n"/>
      <c r="Z203" s="59" t="n"/>
      <c r="AA203" s="59" t="n"/>
      <c r="AB203" s="59" t="n"/>
      <c r="AC203" s="59" t="n"/>
      <c r="AD203" s="59" t="n"/>
      <c r="AE203" s="59" t="n"/>
      <c r="AF203" s="59" t="n"/>
      <c r="AG203" s="59" t="n"/>
      <c r="AH203" s="59" t="n"/>
    </row>
    <row r="204" ht="14.25" customHeight="1">
      <c r="A204" s="62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66" t="n"/>
      <c r="R204" s="66" t="n"/>
      <c r="S204" s="66" t="n"/>
      <c r="T204" s="59" t="n"/>
      <c r="U204" s="59" t="n"/>
      <c r="V204" s="59" t="n"/>
      <c r="W204" s="66" t="n"/>
      <c r="X204" s="59" t="n"/>
      <c r="Y204" s="59" t="n"/>
      <c r="Z204" s="59" t="n"/>
      <c r="AA204" s="59" t="n"/>
      <c r="AB204" s="59" t="n"/>
      <c r="AC204" s="59" t="n"/>
      <c r="AD204" s="59" t="n"/>
      <c r="AE204" s="59" t="n"/>
      <c r="AF204" s="59" t="n"/>
      <c r="AG204" s="59" t="n"/>
      <c r="AH204" s="59" t="n"/>
    </row>
    <row r="205" ht="14.25" customHeight="1">
      <c r="A205" s="62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66" t="n"/>
      <c r="R205" s="66" t="n"/>
      <c r="S205" s="66" t="n"/>
      <c r="T205" s="59" t="n"/>
      <c r="U205" s="59" t="n"/>
      <c r="V205" s="59" t="n"/>
      <c r="W205" s="66" t="n"/>
      <c r="X205" s="59" t="n"/>
      <c r="Y205" s="59" t="n"/>
      <c r="Z205" s="59" t="n"/>
      <c r="AA205" s="59" t="n"/>
      <c r="AB205" s="59" t="n"/>
      <c r="AC205" s="59" t="n"/>
      <c r="AD205" s="59" t="n"/>
      <c r="AE205" s="59" t="n"/>
      <c r="AF205" s="59" t="n"/>
      <c r="AG205" s="59" t="n"/>
      <c r="AH205" s="59" t="n"/>
    </row>
    <row r="206" ht="14.25" customHeight="1">
      <c r="A206" s="62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66" t="n"/>
      <c r="R206" s="66" t="n"/>
      <c r="S206" s="66" t="n"/>
      <c r="T206" s="59" t="n"/>
      <c r="U206" s="59" t="n"/>
      <c r="V206" s="59" t="n"/>
      <c r="W206" s="66" t="n"/>
      <c r="X206" s="59" t="n"/>
      <c r="Y206" s="59" t="n"/>
      <c r="Z206" s="59" t="n"/>
      <c r="AA206" s="59" t="n"/>
      <c r="AB206" s="59" t="n"/>
      <c r="AC206" s="59" t="n"/>
      <c r="AD206" s="59" t="n"/>
      <c r="AE206" s="59" t="n"/>
      <c r="AF206" s="59" t="n"/>
      <c r="AG206" s="59" t="n"/>
      <c r="AH206" s="59" t="n"/>
    </row>
    <row r="207" ht="14.25" customHeight="1">
      <c r="A207" s="62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66" t="n"/>
      <c r="R207" s="66" t="n"/>
      <c r="S207" s="66" t="n"/>
      <c r="T207" s="59" t="n"/>
      <c r="U207" s="59" t="n"/>
      <c r="V207" s="59" t="n"/>
      <c r="W207" s="66" t="n"/>
      <c r="X207" s="59" t="n"/>
      <c r="Y207" s="59" t="n"/>
      <c r="Z207" s="59" t="n"/>
      <c r="AA207" s="59" t="n"/>
      <c r="AB207" s="59" t="n"/>
      <c r="AC207" s="59" t="n"/>
      <c r="AD207" s="59" t="n"/>
      <c r="AE207" s="59" t="n"/>
      <c r="AF207" s="59" t="n"/>
      <c r="AG207" s="59" t="n"/>
      <c r="AH207" s="59" t="n"/>
    </row>
    <row r="208" ht="14.25" customHeight="1">
      <c r="A208" s="62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66" t="n"/>
      <c r="R208" s="66" t="n"/>
      <c r="S208" s="66" t="n"/>
      <c r="T208" s="59" t="n"/>
      <c r="U208" s="59" t="n"/>
      <c r="V208" s="59" t="n"/>
      <c r="W208" s="66" t="n"/>
      <c r="X208" s="59" t="n"/>
      <c r="Y208" s="59" t="n"/>
      <c r="Z208" s="59" t="n"/>
      <c r="AA208" s="59" t="n"/>
      <c r="AB208" s="59" t="n"/>
      <c r="AC208" s="59" t="n"/>
      <c r="AD208" s="59" t="n"/>
      <c r="AE208" s="59" t="n"/>
      <c r="AF208" s="59" t="n"/>
      <c r="AG208" s="59" t="n"/>
      <c r="AH208" s="59" t="n"/>
    </row>
    <row r="209" ht="14.25" customHeight="1">
      <c r="A209" s="62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66" t="n"/>
      <c r="R209" s="66" t="n"/>
      <c r="S209" s="66" t="n"/>
      <c r="T209" s="59" t="n"/>
      <c r="U209" s="59" t="n"/>
      <c r="V209" s="59" t="n"/>
      <c r="W209" s="66" t="n"/>
      <c r="X209" s="59" t="n"/>
      <c r="Y209" s="59" t="n"/>
      <c r="Z209" s="59" t="n"/>
      <c r="AA209" s="59" t="n"/>
      <c r="AB209" s="59" t="n"/>
      <c r="AC209" s="59" t="n"/>
      <c r="AD209" s="59" t="n"/>
      <c r="AE209" s="59" t="n"/>
      <c r="AF209" s="59" t="n"/>
      <c r="AG209" s="59" t="n"/>
      <c r="AH209" s="59" t="n"/>
    </row>
    <row r="210" ht="14.25" customHeight="1">
      <c r="A210" s="62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66" t="n"/>
      <c r="R210" s="66" t="n"/>
      <c r="S210" s="66" t="n"/>
      <c r="T210" s="59" t="n"/>
      <c r="U210" s="59" t="n"/>
      <c r="V210" s="59" t="n"/>
      <c r="W210" s="66" t="n"/>
      <c r="X210" s="59" t="n"/>
      <c r="Y210" s="59" t="n"/>
      <c r="Z210" s="59" t="n"/>
      <c r="AA210" s="59" t="n"/>
      <c r="AB210" s="59" t="n"/>
      <c r="AC210" s="59" t="n"/>
      <c r="AD210" s="59" t="n"/>
      <c r="AE210" s="59" t="n"/>
      <c r="AF210" s="59" t="n"/>
      <c r="AG210" s="59" t="n"/>
      <c r="AH210" s="59" t="n"/>
    </row>
    <row r="211" ht="14.25" customHeight="1">
      <c r="A211" s="62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66" t="n"/>
      <c r="R211" s="66" t="n"/>
      <c r="S211" s="66" t="n"/>
      <c r="T211" s="59" t="n"/>
      <c r="U211" s="59" t="n"/>
      <c r="V211" s="59" t="n"/>
      <c r="W211" s="66" t="n"/>
      <c r="X211" s="59" t="n"/>
      <c r="Y211" s="59" t="n"/>
      <c r="Z211" s="59" t="n"/>
      <c r="AA211" s="59" t="n"/>
      <c r="AB211" s="59" t="n"/>
      <c r="AC211" s="59" t="n"/>
      <c r="AD211" s="59" t="n"/>
      <c r="AE211" s="59" t="n"/>
      <c r="AF211" s="59" t="n"/>
      <c r="AG211" s="59" t="n"/>
      <c r="AH211" s="59" t="n"/>
    </row>
    <row r="212" ht="14.25" customHeight="1">
      <c r="A212" s="62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66" t="n"/>
      <c r="R212" s="66" t="n"/>
      <c r="S212" s="66" t="n"/>
      <c r="T212" s="59" t="n"/>
      <c r="U212" s="59" t="n"/>
      <c r="V212" s="59" t="n"/>
      <c r="W212" s="66" t="n"/>
      <c r="X212" s="59" t="n"/>
      <c r="Y212" s="59" t="n"/>
      <c r="Z212" s="59" t="n"/>
      <c r="AA212" s="59" t="n"/>
      <c r="AB212" s="59" t="n"/>
      <c r="AC212" s="59" t="n"/>
      <c r="AD212" s="59" t="n"/>
      <c r="AE212" s="59" t="n"/>
      <c r="AF212" s="59" t="n"/>
      <c r="AG212" s="59" t="n"/>
      <c r="AH212" s="59" t="n"/>
    </row>
    <row r="213" ht="14.25" customHeight="1">
      <c r="A213" s="62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66" t="n"/>
      <c r="R213" s="66" t="n"/>
      <c r="S213" s="66" t="n"/>
      <c r="T213" s="59" t="n"/>
      <c r="U213" s="59" t="n"/>
      <c r="V213" s="59" t="n"/>
      <c r="W213" s="66" t="n"/>
      <c r="X213" s="59" t="n"/>
      <c r="Y213" s="59" t="n"/>
      <c r="Z213" s="59" t="n"/>
      <c r="AA213" s="59" t="n"/>
      <c r="AB213" s="59" t="n"/>
      <c r="AC213" s="59" t="n"/>
      <c r="AD213" s="59" t="n"/>
      <c r="AE213" s="59" t="n"/>
      <c r="AF213" s="59" t="n"/>
      <c r="AG213" s="59" t="n"/>
      <c r="AH213" s="59" t="n"/>
    </row>
    <row r="214" ht="14.25" customHeight="1">
      <c r="A214" s="62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66" t="n"/>
      <c r="R214" s="66" t="n"/>
      <c r="S214" s="66" t="n"/>
      <c r="T214" s="59" t="n"/>
      <c r="U214" s="59" t="n"/>
      <c r="V214" s="59" t="n"/>
      <c r="W214" s="66" t="n"/>
      <c r="X214" s="59" t="n"/>
      <c r="Y214" s="59" t="n"/>
      <c r="Z214" s="59" t="n"/>
      <c r="AA214" s="59" t="n"/>
      <c r="AB214" s="59" t="n"/>
      <c r="AC214" s="59" t="n"/>
      <c r="AD214" s="59" t="n"/>
      <c r="AE214" s="59" t="n"/>
      <c r="AF214" s="59" t="n"/>
      <c r="AG214" s="59" t="n"/>
      <c r="AH214" s="59" t="n"/>
    </row>
    <row r="215" ht="14.25" customHeight="1">
      <c r="A215" s="62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66" t="n"/>
      <c r="R215" s="66" t="n"/>
      <c r="S215" s="66" t="n"/>
      <c r="T215" s="59" t="n"/>
      <c r="U215" s="59" t="n"/>
      <c r="V215" s="59" t="n"/>
      <c r="W215" s="66" t="n"/>
      <c r="X215" s="59" t="n"/>
      <c r="Y215" s="59" t="n"/>
      <c r="Z215" s="59" t="n"/>
      <c r="AA215" s="59" t="n"/>
      <c r="AB215" s="59" t="n"/>
      <c r="AC215" s="59" t="n"/>
      <c r="AD215" s="59" t="n"/>
      <c r="AE215" s="59" t="n"/>
      <c r="AF215" s="59" t="n"/>
      <c r="AG215" s="59" t="n"/>
      <c r="AH215" s="59" t="n"/>
    </row>
    <row r="216" ht="14.25" customHeight="1">
      <c r="A216" s="62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66" t="n"/>
      <c r="R216" s="66" t="n"/>
      <c r="S216" s="66" t="n"/>
      <c r="T216" s="59" t="n"/>
      <c r="U216" s="59" t="n"/>
      <c r="V216" s="59" t="n"/>
      <c r="W216" s="66" t="n"/>
      <c r="X216" s="59" t="n"/>
      <c r="Y216" s="59" t="n"/>
      <c r="Z216" s="59" t="n"/>
      <c r="AA216" s="59" t="n"/>
      <c r="AB216" s="59" t="n"/>
      <c r="AC216" s="59" t="n"/>
      <c r="AD216" s="59" t="n"/>
      <c r="AE216" s="59" t="n"/>
      <c r="AF216" s="59" t="n"/>
      <c r="AG216" s="59" t="n"/>
      <c r="AH216" s="59" t="n"/>
    </row>
    <row r="217" ht="14.25" customHeight="1">
      <c r="A217" s="62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66" t="n"/>
      <c r="R217" s="66" t="n"/>
      <c r="S217" s="66" t="n"/>
      <c r="T217" s="59" t="n"/>
      <c r="U217" s="59" t="n"/>
      <c r="V217" s="59" t="n"/>
      <c r="W217" s="66" t="n"/>
      <c r="X217" s="59" t="n"/>
      <c r="Y217" s="59" t="n"/>
      <c r="Z217" s="59" t="n"/>
      <c r="AA217" s="59" t="n"/>
      <c r="AB217" s="59" t="n"/>
      <c r="AC217" s="59" t="n"/>
      <c r="AD217" s="59" t="n"/>
      <c r="AE217" s="59" t="n"/>
      <c r="AF217" s="59" t="n"/>
      <c r="AG217" s="59" t="n"/>
      <c r="AH217" s="59" t="n"/>
    </row>
    <row r="218" ht="14.25" customHeight="1">
      <c r="A218" s="62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66" t="n"/>
      <c r="R218" s="66" t="n"/>
      <c r="S218" s="66" t="n"/>
      <c r="T218" s="59" t="n"/>
      <c r="U218" s="59" t="n"/>
      <c r="V218" s="59" t="n"/>
      <c r="W218" s="66" t="n"/>
      <c r="X218" s="59" t="n"/>
      <c r="Y218" s="59" t="n"/>
      <c r="Z218" s="59" t="n"/>
      <c r="AA218" s="59" t="n"/>
      <c r="AB218" s="59" t="n"/>
      <c r="AC218" s="59" t="n"/>
      <c r="AD218" s="59" t="n"/>
      <c r="AE218" s="59" t="n"/>
      <c r="AF218" s="59" t="n"/>
      <c r="AG218" s="59" t="n"/>
      <c r="AH218" s="59" t="n"/>
    </row>
    <row r="219" ht="14.25" customHeight="1">
      <c r="A219" s="62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66" t="n"/>
      <c r="R219" s="66" t="n"/>
      <c r="S219" s="66" t="n"/>
      <c r="T219" s="59" t="n"/>
      <c r="U219" s="59" t="n"/>
      <c r="V219" s="59" t="n"/>
      <c r="W219" s="66" t="n"/>
      <c r="X219" s="59" t="n"/>
      <c r="Y219" s="59" t="n"/>
      <c r="Z219" s="59" t="n"/>
      <c r="AA219" s="59" t="n"/>
      <c r="AB219" s="59" t="n"/>
      <c r="AC219" s="59" t="n"/>
      <c r="AD219" s="59" t="n"/>
      <c r="AE219" s="59" t="n"/>
      <c r="AF219" s="59" t="n"/>
      <c r="AG219" s="59" t="n"/>
      <c r="AH219" s="59" t="n"/>
    </row>
    <row r="220" ht="14.25" customHeight="1">
      <c r="A220" s="62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66" t="n"/>
      <c r="R220" s="66" t="n"/>
      <c r="S220" s="66" t="n"/>
      <c r="T220" s="59" t="n"/>
      <c r="U220" s="59" t="n"/>
      <c r="V220" s="59" t="n"/>
      <c r="W220" s="66" t="n"/>
      <c r="X220" s="59" t="n"/>
      <c r="Y220" s="59" t="n"/>
      <c r="Z220" s="59" t="n"/>
      <c r="AA220" s="59" t="n"/>
      <c r="AB220" s="59" t="n"/>
      <c r="AC220" s="59" t="n"/>
      <c r="AD220" s="59" t="n"/>
      <c r="AE220" s="59" t="n"/>
      <c r="AF220" s="59" t="n"/>
      <c r="AG220" s="59" t="n"/>
      <c r="AH220" s="59" t="n"/>
    </row>
    <row r="221" ht="14.25" customHeight="1">
      <c r="A221" s="62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66" t="n"/>
      <c r="R221" s="66" t="n"/>
      <c r="S221" s="66" t="n"/>
      <c r="T221" s="59" t="n"/>
      <c r="U221" s="59" t="n"/>
      <c r="V221" s="59" t="n"/>
      <c r="W221" s="66" t="n"/>
      <c r="X221" s="59" t="n"/>
      <c r="Y221" s="59" t="n"/>
      <c r="Z221" s="59" t="n"/>
      <c r="AA221" s="59" t="n"/>
      <c r="AB221" s="59" t="n"/>
      <c r="AC221" s="59" t="n"/>
      <c r="AD221" s="59" t="n"/>
      <c r="AE221" s="59" t="n"/>
      <c r="AF221" s="59" t="n"/>
      <c r="AG221" s="59" t="n"/>
      <c r="AH221" s="59" t="n"/>
    </row>
    <row r="222" ht="14.25" customHeight="1">
      <c r="A222" s="62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66" t="n"/>
      <c r="R222" s="66" t="n"/>
      <c r="S222" s="66" t="n"/>
      <c r="T222" s="59" t="n"/>
      <c r="U222" s="59" t="n"/>
      <c r="V222" s="59" t="n"/>
      <c r="W222" s="66" t="n"/>
      <c r="X222" s="59" t="n"/>
      <c r="Y222" s="59" t="n"/>
      <c r="Z222" s="59" t="n"/>
      <c r="AA222" s="59" t="n"/>
      <c r="AB222" s="59" t="n"/>
      <c r="AC222" s="59" t="n"/>
      <c r="AD222" s="59" t="n"/>
      <c r="AE222" s="59" t="n"/>
      <c r="AF222" s="59" t="n"/>
      <c r="AG222" s="59" t="n"/>
      <c r="AH222" s="59" t="n"/>
    </row>
    <row r="223" ht="14.25" customHeight="1">
      <c r="A223" s="62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66" t="n"/>
      <c r="R223" s="66" t="n"/>
      <c r="S223" s="66" t="n"/>
      <c r="T223" s="59" t="n"/>
      <c r="U223" s="59" t="n"/>
      <c r="V223" s="59" t="n"/>
      <c r="W223" s="66" t="n"/>
      <c r="X223" s="59" t="n"/>
      <c r="Y223" s="59" t="n"/>
      <c r="Z223" s="59" t="n"/>
      <c r="AA223" s="59" t="n"/>
      <c r="AB223" s="59" t="n"/>
      <c r="AC223" s="59" t="n"/>
      <c r="AD223" s="59" t="n"/>
      <c r="AE223" s="59" t="n"/>
      <c r="AF223" s="59" t="n"/>
      <c r="AG223" s="59" t="n"/>
      <c r="AH223" s="59" t="n"/>
    </row>
    <row r="224" ht="14.25" customHeight="1">
      <c r="A224" s="62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66" t="n"/>
      <c r="R224" s="66" t="n"/>
      <c r="S224" s="66" t="n"/>
      <c r="T224" s="59" t="n"/>
      <c r="U224" s="59" t="n"/>
      <c r="V224" s="59" t="n"/>
      <c r="W224" s="66" t="n"/>
      <c r="X224" s="59" t="n"/>
      <c r="Y224" s="59" t="n"/>
      <c r="Z224" s="59" t="n"/>
      <c r="AA224" s="59" t="n"/>
      <c r="AB224" s="59" t="n"/>
      <c r="AC224" s="59" t="n"/>
      <c r="AD224" s="59" t="n"/>
      <c r="AE224" s="59" t="n"/>
      <c r="AF224" s="59" t="n"/>
      <c r="AG224" s="59" t="n"/>
      <c r="AH224" s="59" t="n"/>
    </row>
    <row r="225" ht="14.25" customHeight="1">
      <c r="A225" s="62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66" t="n"/>
      <c r="R225" s="66" t="n"/>
      <c r="S225" s="66" t="n"/>
      <c r="T225" s="59" t="n"/>
      <c r="U225" s="59" t="n"/>
      <c r="V225" s="59" t="n"/>
      <c r="W225" s="66" t="n"/>
      <c r="X225" s="59" t="n"/>
      <c r="Y225" s="59" t="n"/>
      <c r="Z225" s="59" t="n"/>
      <c r="AA225" s="59" t="n"/>
      <c r="AB225" s="59" t="n"/>
      <c r="AC225" s="59" t="n"/>
      <c r="AD225" s="59" t="n"/>
      <c r="AE225" s="59" t="n"/>
      <c r="AF225" s="59" t="n"/>
      <c r="AG225" s="59" t="n"/>
      <c r="AH225" s="59" t="n"/>
    </row>
    <row r="226" ht="14.25" customHeight="1">
      <c r="A226" s="62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66" t="n"/>
      <c r="R226" s="66" t="n"/>
      <c r="S226" s="66" t="n"/>
      <c r="T226" s="59" t="n"/>
      <c r="U226" s="59" t="n"/>
      <c r="V226" s="59" t="n"/>
      <c r="W226" s="66" t="n"/>
      <c r="X226" s="59" t="n"/>
      <c r="Y226" s="59" t="n"/>
      <c r="Z226" s="59" t="n"/>
      <c r="AA226" s="59" t="n"/>
      <c r="AB226" s="59" t="n"/>
      <c r="AC226" s="59" t="n"/>
      <c r="AD226" s="59" t="n"/>
      <c r="AE226" s="59" t="n"/>
      <c r="AF226" s="59" t="n"/>
      <c r="AG226" s="59" t="n"/>
      <c r="AH226" s="59" t="n"/>
    </row>
    <row r="227" ht="14.25" customHeight="1">
      <c r="A227" s="62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66" t="n"/>
      <c r="R227" s="66" t="n"/>
      <c r="S227" s="66" t="n"/>
      <c r="T227" s="59" t="n"/>
      <c r="U227" s="59" t="n"/>
      <c r="V227" s="59" t="n"/>
      <c r="W227" s="66" t="n"/>
      <c r="X227" s="59" t="n"/>
      <c r="Y227" s="59" t="n"/>
      <c r="Z227" s="59" t="n"/>
      <c r="AA227" s="59" t="n"/>
      <c r="AB227" s="59" t="n"/>
      <c r="AC227" s="59" t="n"/>
      <c r="AD227" s="59" t="n"/>
      <c r="AE227" s="59" t="n"/>
      <c r="AF227" s="59" t="n"/>
      <c r="AG227" s="59" t="n"/>
      <c r="AH227" s="59" t="n"/>
    </row>
    <row r="228" ht="14.25" customHeight="1">
      <c r="A228" s="62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66" t="n"/>
      <c r="R228" s="66" t="n"/>
      <c r="S228" s="66" t="n"/>
      <c r="T228" s="59" t="n"/>
      <c r="U228" s="59" t="n"/>
      <c r="V228" s="59" t="n"/>
      <c r="W228" s="66" t="n"/>
      <c r="X228" s="59" t="n"/>
      <c r="Y228" s="59" t="n"/>
      <c r="Z228" s="59" t="n"/>
      <c r="AA228" s="59" t="n"/>
      <c r="AB228" s="59" t="n"/>
      <c r="AC228" s="59" t="n"/>
      <c r="AD228" s="59" t="n"/>
      <c r="AE228" s="59" t="n"/>
      <c r="AF228" s="59" t="n"/>
      <c r="AG228" s="59" t="n"/>
      <c r="AH228" s="59" t="n"/>
    </row>
    <row r="229" ht="14.25" customHeight="1">
      <c r="A229" s="62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66" t="n"/>
      <c r="R229" s="66" t="n"/>
      <c r="S229" s="66" t="n"/>
      <c r="T229" s="59" t="n"/>
      <c r="U229" s="59" t="n"/>
      <c r="V229" s="59" t="n"/>
      <c r="W229" s="66" t="n"/>
      <c r="X229" s="59" t="n"/>
      <c r="Y229" s="59" t="n"/>
      <c r="Z229" s="59" t="n"/>
      <c r="AA229" s="59" t="n"/>
      <c r="AB229" s="59" t="n"/>
      <c r="AC229" s="59" t="n"/>
      <c r="AD229" s="59" t="n"/>
      <c r="AE229" s="59" t="n"/>
      <c r="AF229" s="59" t="n"/>
      <c r="AG229" s="59" t="n"/>
      <c r="AH229" s="59" t="n"/>
    </row>
    <row r="230" ht="14.25" customHeight="1">
      <c r="A230" s="62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66" t="n"/>
      <c r="R230" s="66" t="n"/>
      <c r="S230" s="66" t="n"/>
      <c r="T230" s="59" t="n"/>
      <c r="U230" s="59" t="n"/>
      <c r="V230" s="59" t="n"/>
      <c r="W230" s="66" t="n"/>
      <c r="X230" s="59" t="n"/>
      <c r="Y230" s="59" t="n"/>
      <c r="Z230" s="59" t="n"/>
      <c r="AA230" s="59" t="n"/>
      <c r="AB230" s="59" t="n"/>
      <c r="AC230" s="59" t="n"/>
      <c r="AD230" s="59" t="n"/>
      <c r="AE230" s="59" t="n"/>
      <c r="AF230" s="59" t="n"/>
      <c r="AG230" s="59" t="n"/>
      <c r="AH230" s="59" t="n"/>
    </row>
    <row r="231" ht="15.75" customHeight="1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</row>
    <row r="232" ht="15.75" customHeight="1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</row>
    <row r="233" ht="15.75" customHeight="1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  <c r="AA233" s="53" t="n"/>
      <c r="AB233" s="53" t="n"/>
      <c r="AC233" s="53" t="n"/>
      <c r="AD233" s="53" t="n"/>
      <c r="AE233" s="53" t="n"/>
      <c r="AF233" s="53" t="n"/>
      <c r="AG233" s="53" t="n"/>
      <c r="AH233" s="53" t="n"/>
    </row>
    <row r="234" ht="15.75" customHeight="1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  <c r="AA234" s="53" t="n"/>
      <c r="AB234" s="53" t="n"/>
      <c r="AC234" s="53" t="n"/>
      <c r="AD234" s="53" t="n"/>
      <c r="AE234" s="53" t="n"/>
      <c r="AF234" s="53" t="n"/>
      <c r="AG234" s="53" t="n"/>
      <c r="AH234" s="53" t="n"/>
    </row>
    <row r="235" ht="15.75" customHeight="1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  <c r="AA235" s="53" t="n"/>
      <c r="AB235" s="53" t="n"/>
      <c r="AC235" s="53" t="n"/>
      <c r="AD235" s="53" t="n"/>
      <c r="AE235" s="53" t="n"/>
      <c r="AF235" s="53" t="n"/>
      <c r="AG235" s="53" t="n"/>
      <c r="AH235" s="53" t="n"/>
    </row>
    <row r="236" ht="15.75" customHeight="1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  <c r="AA236" s="53" t="n"/>
      <c r="AB236" s="53" t="n"/>
      <c r="AC236" s="53" t="n"/>
      <c r="AD236" s="53" t="n"/>
      <c r="AE236" s="53" t="n"/>
      <c r="AF236" s="53" t="n"/>
      <c r="AG236" s="53" t="n"/>
      <c r="AH236" s="53" t="n"/>
    </row>
    <row r="237" ht="15.75" customHeight="1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  <c r="AA237" s="53" t="n"/>
      <c r="AB237" s="53" t="n"/>
      <c r="AC237" s="53" t="n"/>
      <c r="AD237" s="53" t="n"/>
      <c r="AE237" s="53" t="n"/>
      <c r="AF237" s="53" t="n"/>
      <c r="AG237" s="53" t="n"/>
      <c r="AH237" s="53" t="n"/>
    </row>
    <row r="238" ht="15.75" customHeight="1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  <c r="AA238" s="53" t="n"/>
      <c r="AB238" s="53" t="n"/>
      <c r="AC238" s="53" t="n"/>
      <c r="AD238" s="53" t="n"/>
      <c r="AE238" s="53" t="n"/>
      <c r="AF238" s="53" t="n"/>
      <c r="AG238" s="53" t="n"/>
      <c r="AH238" s="53" t="n"/>
    </row>
    <row r="239" ht="15.75" customHeight="1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  <c r="AA239" s="53" t="n"/>
      <c r="AB239" s="53" t="n"/>
      <c r="AC239" s="53" t="n"/>
      <c r="AD239" s="53" t="n"/>
      <c r="AE239" s="53" t="n"/>
      <c r="AF239" s="53" t="n"/>
      <c r="AG239" s="53" t="n"/>
      <c r="AH239" s="53" t="n"/>
    </row>
    <row r="240" ht="15.75" customHeight="1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  <c r="AA240" s="53" t="n"/>
      <c r="AB240" s="53" t="n"/>
      <c r="AC240" s="53" t="n"/>
      <c r="AD240" s="53" t="n"/>
      <c r="AE240" s="53" t="n"/>
      <c r="AF240" s="53" t="n"/>
      <c r="AG240" s="53" t="n"/>
      <c r="AH240" s="53" t="n"/>
    </row>
    <row r="241" ht="15.75" customHeight="1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  <c r="AA241" s="53" t="n"/>
      <c r="AB241" s="53" t="n"/>
      <c r="AC241" s="53" t="n"/>
      <c r="AD241" s="53" t="n"/>
      <c r="AE241" s="53" t="n"/>
      <c r="AF241" s="53" t="n"/>
      <c r="AG241" s="53" t="n"/>
      <c r="AH241" s="53" t="n"/>
    </row>
    <row r="242" ht="15.75" customHeight="1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  <c r="AA242" s="53" t="n"/>
      <c r="AB242" s="53" t="n"/>
      <c r="AC242" s="53" t="n"/>
      <c r="AD242" s="53" t="n"/>
      <c r="AE242" s="53" t="n"/>
      <c r="AF242" s="53" t="n"/>
      <c r="AG242" s="53" t="n"/>
      <c r="AH242" s="53" t="n"/>
    </row>
    <row r="243" ht="15.75" customHeight="1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  <c r="AA243" s="53" t="n"/>
      <c r="AB243" s="53" t="n"/>
      <c r="AC243" s="53" t="n"/>
      <c r="AD243" s="53" t="n"/>
      <c r="AE243" s="53" t="n"/>
      <c r="AF243" s="53" t="n"/>
      <c r="AG243" s="53" t="n"/>
      <c r="AH243" s="53" t="n"/>
    </row>
    <row r="244" ht="15.75" customHeight="1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  <c r="AA244" s="53" t="n"/>
      <c r="AB244" s="53" t="n"/>
      <c r="AC244" s="53" t="n"/>
      <c r="AD244" s="53" t="n"/>
      <c r="AE244" s="53" t="n"/>
      <c r="AF244" s="53" t="n"/>
      <c r="AG244" s="53" t="n"/>
      <c r="AH244" s="53" t="n"/>
    </row>
    <row r="245" ht="15.75" customHeight="1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  <c r="AA245" s="53" t="n"/>
      <c r="AB245" s="53" t="n"/>
      <c r="AC245" s="53" t="n"/>
      <c r="AD245" s="53" t="n"/>
      <c r="AE245" s="53" t="n"/>
      <c r="AF245" s="53" t="n"/>
      <c r="AG245" s="53" t="n"/>
      <c r="AH245" s="53" t="n"/>
    </row>
    <row r="246" ht="15.75" customHeight="1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  <c r="AA246" s="53" t="n"/>
      <c r="AB246" s="53" t="n"/>
      <c r="AC246" s="53" t="n"/>
      <c r="AD246" s="53" t="n"/>
      <c r="AE246" s="53" t="n"/>
      <c r="AF246" s="53" t="n"/>
      <c r="AG246" s="53" t="n"/>
      <c r="AH246" s="53" t="n"/>
    </row>
    <row r="247" ht="15.75" customHeight="1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  <c r="AA247" s="53" t="n"/>
      <c r="AB247" s="53" t="n"/>
      <c r="AC247" s="53" t="n"/>
      <c r="AD247" s="53" t="n"/>
      <c r="AE247" s="53" t="n"/>
      <c r="AF247" s="53" t="n"/>
      <c r="AG247" s="53" t="n"/>
      <c r="AH247" s="53" t="n"/>
    </row>
    <row r="248" ht="15.75" customHeight="1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  <c r="AA248" s="53" t="n"/>
      <c r="AB248" s="53" t="n"/>
      <c r="AC248" s="53" t="n"/>
      <c r="AD248" s="53" t="n"/>
      <c r="AE248" s="53" t="n"/>
      <c r="AF248" s="53" t="n"/>
      <c r="AG248" s="53" t="n"/>
      <c r="AH248" s="53" t="n"/>
    </row>
    <row r="249" ht="15.75" customHeight="1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  <c r="AA249" s="53" t="n"/>
      <c r="AB249" s="53" t="n"/>
      <c r="AC249" s="53" t="n"/>
      <c r="AD249" s="53" t="n"/>
      <c r="AE249" s="53" t="n"/>
      <c r="AF249" s="53" t="n"/>
      <c r="AG249" s="53" t="n"/>
      <c r="AH249" s="53" t="n"/>
    </row>
    <row r="250" ht="15.75" customHeight="1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  <c r="AA250" s="53" t="n"/>
      <c r="AB250" s="53" t="n"/>
      <c r="AC250" s="53" t="n"/>
      <c r="AD250" s="53" t="n"/>
      <c r="AE250" s="53" t="n"/>
      <c r="AF250" s="53" t="n"/>
      <c r="AG250" s="53" t="n"/>
      <c r="AH250" s="53" t="n"/>
    </row>
    <row r="251" ht="15.75" customHeight="1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  <c r="AA251" s="53" t="n"/>
      <c r="AB251" s="53" t="n"/>
      <c r="AC251" s="53" t="n"/>
      <c r="AD251" s="53" t="n"/>
      <c r="AE251" s="53" t="n"/>
      <c r="AF251" s="53" t="n"/>
      <c r="AG251" s="53" t="n"/>
      <c r="AH251" s="53" t="n"/>
    </row>
    <row r="252" ht="15.75" customHeight="1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  <c r="AA252" s="53" t="n"/>
      <c r="AB252" s="53" t="n"/>
      <c r="AC252" s="53" t="n"/>
      <c r="AD252" s="53" t="n"/>
      <c r="AE252" s="53" t="n"/>
      <c r="AF252" s="53" t="n"/>
      <c r="AG252" s="53" t="n"/>
      <c r="AH252" s="53" t="n"/>
    </row>
    <row r="253" ht="15.75" customHeight="1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  <c r="AA253" s="53" t="n"/>
      <c r="AB253" s="53" t="n"/>
      <c r="AC253" s="53" t="n"/>
      <c r="AD253" s="53" t="n"/>
      <c r="AE253" s="53" t="n"/>
      <c r="AF253" s="53" t="n"/>
      <c r="AG253" s="53" t="n"/>
      <c r="AH253" s="53" t="n"/>
    </row>
    <row r="254" ht="15.75" customHeight="1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  <c r="AA254" s="53" t="n"/>
      <c r="AB254" s="53" t="n"/>
      <c r="AC254" s="53" t="n"/>
      <c r="AD254" s="53" t="n"/>
      <c r="AE254" s="53" t="n"/>
      <c r="AF254" s="53" t="n"/>
      <c r="AG254" s="53" t="n"/>
      <c r="AH254" s="53" t="n"/>
    </row>
    <row r="255" ht="15.75" customHeight="1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  <c r="AA255" s="53" t="n"/>
      <c r="AB255" s="53" t="n"/>
      <c r="AC255" s="53" t="n"/>
      <c r="AD255" s="53" t="n"/>
      <c r="AE255" s="53" t="n"/>
      <c r="AF255" s="53" t="n"/>
      <c r="AG255" s="53" t="n"/>
      <c r="AH255" s="53" t="n"/>
    </row>
    <row r="256" ht="15.75" customHeight="1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  <c r="AA256" s="53" t="n"/>
      <c r="AB256" s="53" t="n"/>
      <c r="AC256" s="53" t="n"/>
      <c r="AD256" s="53" t="n"/>
      <c r="AE256" s="53" t="n"/>
      <c r="AF256" s="53" t="n"/>
      <c r="AG256" s="53" t="n"/>
      <c r="AH256" s="53" t="n"/>
    </row>
    <row r="257" ht="15.75" customHeight="1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  <c r="AA257" s="53" t="n"/>
      <c r="AB257" s="53" t="n"/>
      <c r="AC257" s="53" t="n"/>
      <c r="AD257" s="53" t="n"/>
      <c r="AE257" s="53" t="n"/>
      <c r="AF257" s="53" t="n"/>
      <c r="AG257" s="53" t="n"/>
      <c r="AH257" s="53" t="n"/>
    </row>
    <row r="258" ht="15.75" customHeight="1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  <c r="AA258" s="53" t="n"/>
      <c r="AB258" s="53" t="n"/>
      <c r="AC258" s="53" t="n"/>
      <c r="AD258" s="53" t="n"/>
      <c r="AE258" s="53" t="n"/>
      <c r="AF258" s="53" t="n"/>
      <c r="AG258" s="53" t="n"/>
      <c r="AH258" s="53" t="n"/>
    </row>
    <row r="259" ht="15.75" customHeight="1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  <c r="AA259" s="53" t="n"/>
      <c r="AB259" s="53" t="n"/>
      <c r="AC259" s="53" t="n"/>
      <c r="AD259" s="53" t="n"/>
      <c r="AE259" s="53" t="n"/>
      <c r="AF259" s="53" t="n"/>
      <c r="AG259" s="53" t="n"/>
      <c r="AH259" s="53" t="n"/>
    </row>
    <row r="260" ht="15.75" customHeight="1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  <c r="AA260" s="53" t="n"/>
      <c r="AB260" s="53" t="n"/>
      <c r="AC260" s="53" t="n"/>
      <c r="AD260" s="53" t="n"/>
      <c r="AE260" s="53" t="n"/>
      <c r="AF260" s="53" t="n"/>
      <c r="AG260" s="53" t="n"/>
      <c r="AH260" s="53" t="n"/>
    </row>
    <row r="261" ht="15.75" customHeight="1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  <c r="AA261" s="53" t="n"/>
      <c r="AB261" s="53" t="n"/>
      <c r="AC261" s="53" t="n"/>
      <c r="AD261" s="53" t="n"/>
      <c r="AE261" s="53" t="n"/>
      <c r="AF261" s="53" t="n"/>
      <c r="AG261" s="53" t="n"/>
      <c r="AH261" s="53" t="n"/>
    </row>
    <row r="262" ht="15.75" customHeight="1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  <c r="AA262" s="53" t="n"/>
      <c r="AB262" s="53" t="n"/>
      <c r="AC262" s="53" t="n"/>
      <c r="AD262" s="53" t="n"/>
      <c r="AE262" s="53" t="n"/>
      <c r="AF262" s="53" t="n"/>
      <c r="AG262" s="53" t="n"/>
      <c r="AH262" s="53" t="n"/>
    </row>
    <row r="263" ht="15.75" customHeight="1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  <c r="AA263" s="53" t="n"/>
      <c r="AB263" s="53" t="n"/>
      <c r="AC263" s="53" t="n"/>
      <c r="AD263" s="53" t="n"/>
      <c r="AE263" s="53" t="n"/>
      <c r="AF263" s="53" t="n"/>
      <c r="AG263" s="53" t="n"/>
      <c r="AH263" s="53" t="n"/>
    </row>
    <row r="264" ht="15.75" customHeight="1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  <c r="AA264" s="53" t="n"/>
      <c r="AB264" s="53" t="n"/>
      <c r="AC264" s="53" t="n"/>
      <c r="AD264" s="53" t="n"/>
      <c r="AE264" s="53" t="n"/>
      <c r="AF264" s="53" t="n"/>
      <c r="AG264" s="53" t="n"/>
      <c r="AH264" s="53" t="n"/>
    </row>
    <row r="265" ht="15.75" customHeight="1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  <c r="AA265" s="53" t="n"/>
      <c r="AB265" s="53" t="n"/>
      <c r="AC265" s="53" t="n"/>
      <c r="AD265" s="53" t="n"/>
      <c r="AE265" s="53" t="n"/>
      <c r="AF265" s="53" t="n"/>
      <c r="AG265" s="53" t="n"/>
      <c r="AH265" s="53" t="n"/>
    </row>
    <row r="266" ht="15.75" customHeight="1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  <c r="AA266" s="53" t="n"/>
      <c r="AB266" s="53" t="n"/>
      <c r="AC266" s="53" t="n"/>
      <c r="AD266" s="53" t="n"/>
      <c r="AE266" s="53" t="n"/>
      <c r="AF266" s="53" t="n"/>
      <c r="AG266" s="53" t="n"/>
      <c r="AH266" s="53" t="n"/>
    </row>
    <row r="267" ht="15.75" customHeight="1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  <c r="AA267" s="53" t="n"/>
      <c r="AB267" s="53" t="n"/>
      <c r="AC267" s="53" t="n"/>
      <c r="AD267" s="53" t="n"/>
      <c r="AE267" s="53" t="n"/>
      <c r="AF267" s="53" t="n"/>
      <c r="AG267" s="53" t="n"/>
      <c r="AH267" s="53" t="n"/>
    </row>
    <row r="268" ht="15.75" customHeight="1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  <c r="AA268" s="53" t="n"/>
      <c r="AB268" s="53" t="n"/>
      <c r="AC268" s="53" t="n"/>
      <c r="AD268" s="53" t="n"/>
      <c r="AE268" s="53" t="n"/>
      <c r="AF268" s="53" t="n"/>
      <c r="AG268" s="53" t="n"/>
      <c r="AH268" s="53" t="n"/>
    </row>
    <row r="269" ht="15.75" customHeight="1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  <c r="AA269" s="53" t="n"/>
      <c r="AB269" s="53" t="n"/>
      <c r="AC269" s="53" t="n"/>
      <c r="AD269" s="53" t="n"/>
      <c r="AE269" s="53" t="n"/>
      <c r="AF269" s="53" t="n"/>
      <c r="AG269" s="53" t="n"/>
      <c r="AH269" s="53" t="n"/>
    </row>
    <row r="270" ht="15.75" customHeight="1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  <c r="AA270" s="53" t="n"/>
      <c r="AB270" s="53" t="n"/>
      <c r="AC270" s="53" t="n"/>
      <c r="AD270" s="53" t="n"/>
      <c r="AE270" s="53" t="n"/>
      <c r="AF270" s="53" t="n"/>
      <c r="AG270" s="53" t="n"/>
      <c r="AH270" s="53" t="n"/>
    </row>
    <row r="271" ht="15.75" customHeight="1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  <c r="AA271" s="53" t="n"/>
      <c r="AB271" s="53" t="n"/>
      <c r="AC271" s="53" t="n"/>
      <c r="AD271" s="53" t="n"/>
      <c r="AE271" s="53" t="n"/>
      <c r="AF271" s="53" t="n"/>
      <c r="AG271" s="53" t="n"/>
      <c r="AH271" s="53" t="n"/>
    </row>
    <row r="272" ht="15.75" customHeight="1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  <c r="AA272" s="53" t="n"/>
      <c r="AB272" s="53" t="n"/>
      <c r="AC272" s="53" t="n"/>
      <c r="AD272" s="53" t="n"/>
      <c r="AE272" s="53" t="n"/>
      <c r="AF272" s="53" t="n"/>
      <c r="AG272" s="53" t="n"/>
      <c r="AH272" s="53" t="n"/>
    </row>
    <row r="273" ht="15.75" customHeight="1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</row>
    <row r="274" ht="15.75" customHeight="1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  <c r="AA274" s="53" t="n"/>
      <c r="AB274" s="53" t="n"/>
      <c r="AC274" s="53" t="n"/>
      <c r="AD274" s="53" t="n"/>
      <c r="AE274" s="53" t="n"/>
      <c r="AF274" s="53" t="n"/>
      <c r="AG274" s="53" t="n"/>
      <c r="AH274" s="53" t="n"/>
    </row>
    <row r="275" ht="15.75" customHeight="1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  <c r="AA275" s="53" t="n"/>
      <c r="AB275" s="53" t="n"/>
      <c r="AC275" s="53" t="n"/>
      <c r="AD275" s="53" t="n"/>
      <c r="AE275" s="53" t="n"/>
      <c r="AF275" s="53" t="n"/>
      <c r="AG275" s="53" t="n"/>
      <c r="AH275" s="53" t="n"/>
    </row>
    <row r="276" ht="15.75" customHeight="1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  <c r="AA276" s="53" t="n"/>
      <c r="AB276" s="53" t="n"/>
      <c r="AC276" s="53" t="n"/>
      <c r="AD276" s="53" t="n"/>
      <c r="AE276" s="53" t="n"/>
      <c r="AF276" s="53" t="n"/>
      <c r="AG276" s="53" t="n"/>
      <c r="AH276" s="53" t="n"/>
    </row>
    <row r="277" ht="15.75" customHeight="1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  <c r="AA277" s="53" t="n"/>
      <c r="AB277" s="53" t="n"/>
      <c r="AC277" s="53" t="n"/>
      <c r="AD277" s="53" t="n"/>
      <c r="AE277" s="53" t="n"/>
      <c r="AF277" s="53" t="n"/>
      <c r="AG277" s="53" t="n"/>
      <c r="AH277" s="53" t="n"/>
    </row>
    <row r="278" ht="15.75" customHeight="1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  <c r="AA278" s="53" t="n"/>
      <c r="AB278" s="53" t="n"/>
      <c r="AC278" s="53" t="n"/>
      <c r="AD278" s="53" t="n"/>
      <c r="AE278" s="53" t="n"/>
      <c r="AF278" s="53" t="n"/>
      <c r="AG278" s="53" t="n"/>
      <c r="AH278" s="53" t="n"/>
    </row>
    <row r="279" ht="15.75" customHeight="1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  <c r="AA279" s="53" t="n"/>
      <c r="AB279" s="53" t="n"/>
      <c r="AC279" s="53" t="n"/>
      <c r="AD279" s="53" t="n"/>
      <c r="AE279" s="53" t="n"/>
      <c r="AF279" s="53" t="n"/>
      <c r="AG279" s="53" t="n"/>
      <c r="AH279" s="53" t="n"/>
    </row>
    <row r="280" ht="15.75" customHeight="1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  <c r="AA280" s="53" t="n"/>
      <c r="AB280" s="53" t="n"/>
      <c r="AC280" s="53" t="n"/>
      <c r="AD280" s="53" t="n"/>
      <c r="AE280" s="53" t="n"/>
      <c r="AF280" s="53" t="n"/>
      <c r="AG280" s="53" t="n"/>
      <c r="AH280" s="53" t="n"/>
    </row>
    <row r="281" ht="15.75" customHeight="1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  <c r="AA281" s="53" t="n"/>
      <c r="AB281" s="53" t="n"/>
      <c r="AC281" s="53" t="n"/>
      <c r="AD281" s="53" t="n"/>
      <c r="AE281" s="53" t="n"/>
      <c r="AF281" s="53" t="n"/>
      <c r="AG281" s="53" t="n"/>
      <c r="AH281" s="53" t="n"/>
    </row>
    <row r="282" ht="15.75" customHeight="1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  <c r="AA282" s="53" t="n"/>
      <c r="AB282" s="53" t="n"/>
      <c r="AC282" s="53" t="n"/>
      <c r="AD282" s="53" t="n"/>
      <c r="AE282" s="53" t="n"/>
      <c r="AF282" s="53" t="n"/>
      <c r="AG282" s="53" t="n"/>
      <c r="AH282" s="53" t="n"/>
    </row>
    <row r="283" ht="15.75" customHeight="1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</row>
    <row r="284" ht="15.75" customHeight="1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  <c r="AA284" s="53" t="n"/>
      <c r="AB284" s="53" t="n"/>
      <c r="AC284" s="53" t="n"/>
      <c r="AD284" s="53" t="n"/>
      <c r="AE284" s="53" t="n"/>
      <c r="AF284" s="53" t="n"/>
      <c r="AG284" s="53" t="n"/>
      <c r="AH284" s="53" t="n"/>
    </row>
    <row r="285" ht="15.75" customHeight="1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  <c r="AA285" s="53" t="n"/>
      <c r="AB285" s="53" t="n"/>
      <c r="AC285" s="53" t="n"/>
      <c r="AD285" s="53" t="n"/>
      <c r="AE285" s="53" t="n"/>
      <c r="AF285" s="53" t="n"/>
      <c r="AG285" s="53" t="n"/>
      <c r="AH285" s="53" t="n"/>
    </row>
    <row r="286" ht="15.75" customHeight="1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  <c r="AA286" s="53" t="n"/>
      <c r="AB286" s="53" t="n"/>
      <c r="AC286" s="53" t="n"/>
      <c r="AD286" s="53" t="n"/>
      <c r="AE286" s="53" t="n"/>
      <c r="AF286" s="53" t="n"/>
      <c r="AG286" s="53" t="n"/>
      <c r="AH286" s="53" t="n"/>
    </row>
    <row r="287" ht="15.75" customHeight="1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  <c r="AA287" s="53" t="n"/>
      <c r="AB287" s="53" t="n"/>
      <c r="AC287" s="53" t="n"/>
      <c r="AD287" s="53" t="n"/>
      <c r="AE287" s="53" t="n"/>
      <c r="AF287" s="53" t="n"/>
      <c r="AG287" s="53" t="n"/>
      <c r="AH287" s="53" t="n"/>
    </row>
    <row r="288" ht="15.75" customHeight="1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  <c r="AA288" s="53" t="n"/>
      <c r="AB288" s="53" t="n"/>
      <c r="AC288" s="53" t="n"/>
      <c r="AD288" s="53" t="n"/>
      <c r="AE288" s="53" t="n"/>
      <c r="AF288" s="53" t="n"/>
      <c r="AG288" s="53" t="n"/>
      <c r="AH288" s="53" t="n"/>
    </row>
    <row r="289" ht="15.75" customHeight="1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  <c r="AA289" s="53" t="n"/>
      <c r="AB289" s="53" t="n"/>
      <c r="AC289" s="53" t="n"/>
      <c r="AD289" s="53" t="n"/>
      <c r="AE289" s="53" t="n"/>
      <c r="AF289" s="53" t="n"/>
      <c r="AG289" s="53" t="n"/>
      <c r="AH289" s="53" t="n"/>
    </row>
    <row r="290" ht="15.75" customHeight="1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  <c r="AA290" s="53" t="n"/>
      <c r="AB290" s="53" t="n"/>
      <c r="AC290" s="53" t="n"/>
      <c r="AD290" s="53" t="n"/>
      <c r="AE290" s="53" t="n"/>
      <c r="AF290" s="53" t="n"/>
      <c r="AG290" s="53" t="n"/>
      <c r="AH290" s="53" t="n"/>
    </row>
    <row r="291" ht="15.75" customHeight="1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  <c r="AA291" s="53" t="n"/>
      <c r="AB291" s="53" t="n"/>
      <c r="AC291" s="53" t="n"/>
      <c r="AD291" s="53" t="n"/>
      <c r="AE291" s="53" t="n"/>
      <c r="AF291" s="53" t="n"/>
      <c r="AG291" s="53" t="n"/>
      <c r="AH291" s="53" t="n"/>
    </row>
    <row r="292" ht="15.75" customHeight="1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  <c r="AA292" s="53" t="n"/>
      <c r="AB292" s="53" t="n"/>
      <c r="AC292" s="53" t="n"/>
      <c r="AD292" s="53" t="n"/>
      <c r="AE292" s="53" t="n"/>
      <c r="AF292" s="53" t="n"/>
      <c r="AG292" s="53" t="n"/>
      <c r="AH292" s="53" t="n"/>
    </row>
    <row r="293" ht="15.75" customHeight="1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  <c r="AA293" s="53" t="n"/>
      <c r="AB293" s="53" t="n"/>
      <c r="AC293" s="53" t="n"/>
      <c r="AD293" s="53" t="n"/>
      <c r="AE293" s="53" t="n"/>
      <c r="AF293" s="53" t="n"/>
      <c r="AG293" s="53" t="n"/>
      <c r="AH293" s="53" t="n"/>
    </row>
    <row r="294" ht="15.75" customHeight="1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  <c r="AA294" s="53" t="n"/>
      <c r="AB294" s="53" t="n"/>
      <c r="AC294" s="53" t="n"/>
      <c r="AD294" s="53" t="n"/>
      <c r="AE294" s="53" t="n"/>
      <c r="AF294" s="53" t="n"/>
      <c r="AG294" s="53" t="n"/>
      <c r="AH294" s="53" t="n"/>
    </row>
    <row r="295" ht="15.75" customHeight="1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  <c r="AA295" s="53" t="n"/>
      <c r="AB295" s="53" t="n"/>
      <c r="AC295" s="53" t="n"/>
      <c r="AD295" s="53" t="n"/>
      <c r="AE295" s="53" t="n"/>
      <c r="AF295" s="53" t="n"/>
      <c r="AG295" s="53" t="n"/>
      <c r="AH295" s="53" t="n"/>
    </row>
    <row r="296" ht="15.75" customHeight="1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  <c r="AA296" s="53" t="n"/>
      <c r="AB296" s="53" t="n"/>
      <c r="AC296" s="53" t="n"/>
      <c r="AD296" s="53" t="n"/>
      <c r="AE296" s="53" t="n"/>
      <c r="AF296" s="53" t="n"/>
      <c r="AG296" s="53" t="n"/>
      <c r="AH296" s="53" t="n"/>
    </row>
    <row r="297" ht="15.75" customHeight="1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  <c r="AA297" s="53" t="n"/>
      <c r="AB297" s="53" t="n"/>
      <c r="AC297" s="53" t="n"/>
      <c r="AD297" s="53" t="n"/>
      <c r="AE297" s="53" t="n"/>
      <c r="AF297" s="53" t="n"/>
      <c r="AG297" s="53" t="n"/>
      <c r="AH297" s="53" t="n"/>
    </row>
    <row r="298" ht="15.75" customHeight="1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  <c r="AA298" s="53" t="n"/>
      <c r="AB298" s="53" t="n"/>
      <c r="AC298" s="53" t="n"/>
      <c r="AD298" s="53" t="n"/>
      <c r="AE298" s="53" t="n"/>
      <c r="AF298" s="53" t="n"/>
      <c r="AG298" s="53" t="n"/>
      <c r="AH298" s="53" t="n"/>
    </row>
    <row r="299" ht="15.75" customHeight="1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  <c r="AA299" s="53" t="n"/>
      <c r="AB299" s="53" t="n"/>
      <c r="AC299" s="53" t="n"/>
      <c r="AD299" s="53" t="n"/>
      <c r="AE299" s="53" t="n"/>
      <c r="AF299" s="53" t="n"/>
      <c r="AG299" s="53" t="n"/>
      <c r="AH299" s="53" t="n"/>
    </row>
    <row r="300" ht="15.75" customHeight="1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  <c r="AA300" s="53" t="n"/>
      <c r="AB300" s="53" t="n"/>
      <c r="AC300" s="53" t="n"/>
      <c r="AD300" s="53" t="n"/>
      <c r="AE300" s="53" t="n"/>
      <c r="AF300" s="53" t="n"/>
      <c r="AG300" s="53" t="n"/>
      <c r="AH300" s="53" t="n"/>
    </row>
    <row r="301" ht="15.75" customHeight="1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  <c r="AA301" s="53" t="n"/>
      <c r="AB301" s="53" t="n"/>
      <c r="AC301" s="53" t="n"/>
      <c r="AD301" s="53" t="n"/>
      <c r="AE301" s="53" t="n"/>
      <c r="AF301" s="53" t="n"/>
      <c r="AG301" s="53" t="n"/>
      <c r="AH301" s="53" t="n"/>
    </row>
    <row r="302" ht="15.75" customHeight="1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  <c r="AA302" s="53" t="n"/>
      <c r="AB302" s="53" t="n"/>
      <c r="AC302" s="53" t="n"/>
      <c r="AD302" s="53" t="n"/>
      <c r="AE302" s="53" t="n"/>
      <c r="AF302" s="53" t="n"/>
      <c r="AG302" s="53" t="n"/>
      <c r="AH302" s="53" t="n"/>
    </row>
    <row r="303" ht="15.75" customHeight="1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  <c r="AA303" s="53" t="n"/>
      <c r="AB303" s="53" t="n"/>
      <c r="AC303" s="53" t="n"/>
      <c r="AD303" s="53" t="n"/>
      <c r="AE303" s="53" t="n"/>
      <c r="AF303" s="53" t="n"/>
      <c r="AG303" s="53" t="n"/>
      <c r="AH303" s="53" t="n"/>
    </row>
    <row r="304" ht="15.75" customHeight="1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  <c r="AA304" s="53" t="n"/>
      <c r="AB304" s="53" t="n"/>
      <c r="AC304" s="53" t="n"/>
      <c r="AD304" s="53" t="n"/>
      <c r="AE304" s="53" t="n"/>
      <c r="AF304" s="53" t="n"/>
      <c r="AG304" s="53" t="n"/>
      <c r="AH304" s="53" t="n"/>
    </row>
    <row r="305" ht="15.75" customHeight="1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  <c r="AA305" s="53" t="n"/>
      <c r="AB305" s="53" t="n"/>
      <c r="AC305" s="53" t="n"/>
      <c r="AD305" s="53" t="n"/>
      <c r="AE305" s="53" t="n"/>
      <c r="AF305" s="53" t="n"/>
      <c r="AG305" s="53" t="n"/>
      <c r="AH305" s="53" t="n"/>
    </row>
    <row r="306" ht="15.75" customHeight="1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  <c r="AA306" s="53" t="n"/>
      <c r="AB306" s="53" t="n"/>
      <c r="AC306" s="53" t="n"/>
      <c r="AD306" s="53" t="n"/>
      <c r="AE306" s="53" t="n"/>
      <c r="AF306" s="53" t="n"/>
      <c r="AG306" s="53" t="n"/>
      <c r="AH306" s="53" t="n"/>
    </row>
    <row r="307" ht="15.75" customHeight="1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  <c r="AA307" s="53" t="n"/>
      <c r="AB307" s="53" t="n"/>
      <c r="AC307" s="53" t="n"/>
      <c r="AD307" s="53" t="n"/>
      <c r="AE307" s="53" t="n"/>
      <c r="AF307" s="53" t="n"/>
      <c r="AG307" s="53" t="n"/>
      <c r="AH307" s="53" t="n"/>
    </row>
    <row r="308" ht="15.75" customHeight="1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  <c r="AA308" s="53" t="n"/>
      <c r="AB308" s="53" t="n"/>
      <c r="AC308" s="53" t="n"/>
      <c r="AD308" s="53" t="n"/>
      <c r="AE308" s="53" t="n"/>
      <c r="AF308" s="53" t="n"/>
      <c r="AG308" s="53" t="n"/>
      <c r="AH308" s="53" t="n"/>
    </row>
    <row r="309" ht="15.75" customHeight="1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  <c r="AA309" s="53" t="n"/>
      <c r="AB309" s="53" t="n"/>
      <c r="AC309" s="53" t="n"/>
      <c r="AD309" s="53" t="n"/>
      <c r="AE309" s="53" t="n"/>
      <c r="AF309" s="53" t="n"/>
      <c r="AG309" s="53" t="n"/>
      <c r="AH309" s="53" t="n"/>
    </row>
    <row r="310" ht="15.75" customHeight="1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  <c r="AA310" s="53" t="n"/>
      <c r="AB310" s="53" t="n"/>
      <c r="AC310" s="53" t="n"/>
      <c r="AD310" s="53" t="n"/>
      <c r="AE310" s="53" t="n"/>
      <c r="AF310" s="53" t="n"/>
      <c r="AG310" s="53" t="n"/>
      <c r="AH310" s="53" t="n"/>
    </row>
    <row r="311" ht="15.75" customHeight="1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  <c r="AA311" s="53" t="n"/>
      <c r="AB311" s="53" t="n"/>
      <c r="AC311" s="53" t="n"/>
      <c r="AD311" s="53" t="n"/>
      <c r="AE311" s="53" t="n"/>
      <c r="AF311" s="53" t="n"/>
      <c r="AG311" s="53" t="n"/>
      <c r="AH311" s="53" t="n"/>
    </row>
    <row r="312" ht="15.75" customHeight="1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  <c r="AA312" s="53" t="n"/>
      <c r="AB312" s="53" t="n"/>
      <c r="AC312" s="53" t="n"/>
      <c r="AD312" s="53" t="n"/>
      <c r="AE312" s="53" t="n"/>
      <c r="AF312" s="53" t="n"/>
      <c r="AG312" s="53" t="n"/>
      <c r="AH312" s="53" t="n"/>
    </row>
    <row r="313" ht="15.75" customHeight="1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  <c r="AA313" s="53" t="n"/>
      <c r="AB313" s="53" t="n"/>
      <c r="AC313" s="53" t="n"/>
      <c r="AD313" s="53" t="n"/>
      <c r="AE313" s="53" t="n"/>
      <c r="AF313" s="53" t="n"/>
      <c r="AG313" s="53" t="n"/>
      <c r="AH313" s="53" t="n"/>
    </row>
    <row r="314" ht="15.75" customHeight="1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  <c r="AA314" s="53" t="n"/>
      <c r="AB314" s="53" t="n"/>
      <c r="AC314" s="53" t="n"/>
      <c r="AD314" s="53" t="n"/>
      <c r="AE314" s="53" t="n"/>
      <c r="AF314" s="53" t="n"/>
      <c r="AG314" s="53" t="n"/>
      <c r="AH314" s="53" t="n"/>
    </row>
    <row r="315" ht="15.75" customHeight="1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  <c r="AA315" s="53" t="n"/>
      <c r="AB315" s="53" t="n"/>
      <c r="AC315" s="53" t="n"/>
      <c r="AD315" s="53" t="n"/>
      <c r="AE315" s="53" t="n"/>
      <c r="AF315" s="53" t="n"/>
      <c r="AG315" s="53" t="n"/>
      <c r="AH315" s="53" t="n"/>
    </row>
    <row r="316" ht="15.75" customHeight="1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  <c r="AA316" s="53" t="n"/>
      <c r="AB316" s="53" t="n"/>
      <c r="AC316" s="53" t="n"/>
      <c r="AD316" s="53" t="n"/>
      <c r="AE316" s="53" t="n"/>
      <c r="AF316" s="53" t="n"/>
      <c r="AG316" s="53" t="n"/>
      <c r="AH316" s="53" t="n"/>
    </row>
    <row r="317" ht="15.75" customHeight="1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</row>
    <row r="318" ht="15.75" customHeight="1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  <c r="AA318" s="53" t="n"/>
      <c r="AB318" s="53" t="n"/>
      <c r="AC318" s="53" t="n"/>
      <c r="AD318" s="53" t="n"/>
      <c r="AE318" s="53" t="n"/>
      <c r="AF318" s="53" t="n"/>
      <c r="AG318" s="53" t="n"/>
      <c r="AH318" s="53" t="n"/>
    </row>
    <row r="319" ht="15.75" customHeight="1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  <c r="AA319" s="53" t="n"/>
      <c r="AB319" s="53" t="n"/>
      <c r="AC319" s="53" t="n"/>
      <c r="AD319" s="53" t="n"/>
      <c r="AE319" s="53" t="n"/>
      <c r="AF319" s="53" t="n"/>
      <c r="AG319" s="53" t="n"/>
      <c r="AH319" s="53" t="n"/>
    </row>
    <row r="320" ht="15.75" customHeight="1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  <c r="AA320" s="53" t="n"/>
      <c r="AB320" s="53" t="n"/>
      <c r="AC320" s="53" t="n"/>
      <c r="AD320" s="53" t="n"/>
      <c r="AE320" s="53" t="n"/>
      <c r="AF320" s="53" t="n"/>
      <c r="AG320" s="53" t="n"/>
      <c r="AH320" s="53" t="n"/>
    </row>
    <row r="321" ht="15.75" customHeight="1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  <c r="AA321" s="53" t="n"/>
      <c r="AB321" s="53" t="n"/>
      <c r="AC321" s="53" t="n"/>
      <c r="AD321" s="53" t="n"/>
      <c r="AE321" s="53" t="n"/>
      <c r="AF321" s="53" t="n"/>
      <c r="AG321" s="53" t="n"/>
      <c r="AH321" s="53" t="n"/>
    </row>
    <row r="322" ht="15.75" customHeight="1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  <c r="AA322" s="53" t="n"/>
      <c r="AB322" s="53" t="n"/>
      <c r="AC322" s="53" t="n"/>
      <c r="AD322" s="53" t="n"/>
      <c r="AE322" s="53" t="n"/>
      <c r="AF322" s="53" t="n"/>
      <c r="AG322" s="53" t="n"/>
      <c r="AH322" s="53" t="n"/>
    </row>
    <row r="323" ht="15.75" customHeight="1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  <c r="AA323" s="53" t="n"/>
      <c r="AB323" s="53" t="n"/>
      <c r="AC323" s="53" t="n"/>
      <c r="AD323" s="53" t="n"/>
      <c r="AE323" s="53" t="n"/>
      <c r="AF323" s="53" t="n"/>
      <c r="AG323" s="53" t="n"/>
      <c r="AH323" s="53" t="n"/>
    </row>
    <row r="324" ht="15.75" customHeight="1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  <c r="AA324" s="53" t="n"/>
      <c r="AB324" s="53" t="n"/>
      <c r="AC324" s="53" t="n"/>
      <c r="AD324" s="53" t="n"/>
      <c r="AE324" s="53" t="n"/>
      <c r="AF324" s="53" t="n"/>
      <c r="AG324" s="53" t="n"/>
      <c r="AH324" s="53" t="n"/>
    </row>
    <row r="325" ht="15.75" customHeight="1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  <c r="AA325" s="53" t="n"/>
      <c r="AB325" s="53" t="n"/>
      <c r="AC325" s="53" t="n"/>
      <c r="AD325" s="53" t="n"/>
      <c r="AE325" s="53" t="n"/>
      <c r="AF325" s="53" t="n"/>
      <c r="AG325" s="53" t="n"/>
      <c r="AH325" s="53" t="n"/>
    </row>
    <row r="326" ht="15.75" customHeight="1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  <c r="AA326" s="53" t="n"/>
      <c r="AB326" s="53" t="n"/>
      <c r="AC326" s="53" t="n"/>
      <c r="AD326" s="53" t="n"/>
      <c r="AE326" s="53" t="n"/>
      <c r="AF326" s="53" t="n"/>
      <c r="AG326" s="53" t="n"/>
      <c r="AH326" s="53" t="n"/>
    </row>
    <row r="327" ht="15.75" customHeight="1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  <c r="AA327" s="53" t="n"/>
      <c r="AB327" s="53" t="n"/>
      <c r="AC327" s="53" t="n"/>
      <c r="AD327" s="53" t="n"/>
      <c r="AE327" s="53" t="n"/>
      <c r="AF327" s="53" t="n"/>
      <c r="AG327" s="53" t="n"/>
      <c r="AH327" s="53" t="n"/>
    </row>
    <row r="328" ht="15.75" customHeight="1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  <c r="AA328" s="53" t="n"/>
      <c r="AB328" s="53" t="n"/>
      <c r="AC328" s="53" t="n"/>
      <c r="AD328" s="53" t="n"/>
      <c r="AE328" s="53" t="n"/>
      <c r="AF328" s="53" t="n"/>
      <c r="AG328" s="53" t="n"/>
      <c r="AH328" s="53" t="n"/>
    </row>
    <row r="329" ht="15.75" customHeight="1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  <c r="AA329" s="53" t="n"/>
      <c r="AB329" s="53" t="n"/>
      <c r="AC329" s="53" t="n"/>
      <c r="AD329" s="53" t="n"/>
      <c r="AE329" s="53" t="n"/>
      <c r="AF329" s="53" t="n"/>
      <c r="AG329" s="53" t="n"/>
      <c r="AH329" s="53" t="n"/>
    </row>
    <row r="330" ht="15.75" customHeight="1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  <c r="AA330" s="53" t="n"/>
      <c r="AB330" s="53" t="n"/>
      <c r="AC330" s="53" t="n"/>
      <c r="AD330" s="53" t="n"/>
      <c r="AE330" s="53" t="n"/>
      <c r="AF330" s="53" t="n"/>
      <c r="AG330" s="53" t="n"/>
      <c r="AH330" s="53" t="n"/>
    </row>
    <row r="331" ht="15.75" customHeight="1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  <c r="AA331" s="53" t="n"/>
      <c r="AB331" s="53" t="n"/>
      <c r="AC331" s="53" t="n"/>
      <c r="AD331" s="53" t="n"/>
      <c r="AE331" s="53" t="n"/>
      <c r="AF331" s="53" t="n"/>
      <c r="AG331" s="53" t="n"/>
      <c r="AH331" s="53" t="n"/>
    </row>
    <row r="332" ht="15.75" customHeight="1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  <c r="AA332" s="53" t="n"/>
      <c r="AB332" s="53" t="n"/>
      <c r="AC332" s="53" t="n"/>
      <c r="AD332" s="53" t="n"/>
      <c r="AE332" s="53" t="n"/>
      <c r="AF332" s="53" t="n"/>
      <c r="AG332" s="53" t="n"/>
      <c r="AH332" s="53" t="n"/>
    </row>
    <row r="333" ht="15.75" customHeight="1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  <c r="AA333" s="53" t="n"/>
      <c r="AB333" s="53" t="n"/>
      <c r="AC333" s="53" t="n"/>
      <c r="AD333" s="53" t="n"/>
      <c r="AE333" s="53" t="n"/>
      <c r="AF333" s="53" t="n"/>
      <c r="AG333" s="53" t="n"/>
      <c r="AH333" s="53" t="n"/>
    </row>
    <row r="334" ht="15.75" customHeight="1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  <c r="AA334" s="53" t="n"/>
      <c r="AB334" s="53" t="n"/>
      <c r="AC334" s="53" t="n"/>
      <c r="AD334" s="53" t="n"/>
      <c r="AE334" s="53" t="n"/>
      <c r="AF334" s="53" t="n"/>
      <c r="AG334" s="53" t="n"/>
      <c r="AH334" s="53" t="n"/>
    </row>
    <row r="335" ht="15.75" customHeight="1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  <c r="AA335" s="53" t="n"/>
      <c r="AB335" s="53" t="n"/>
      <c r="AC335" s="53" t="n"/>
      <c r="AD335" s="53" t="n"/>
      <c r="AE335" s="53" t="n"/>
      <c r="AF335" s="53" t="n"/>
      <c r="AG335" s="53" t="n"/>
      <c r="AH335" s="53" t="n"/>
    </row>
    <row r="336" ht="15.75" customHeight="1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</row>
    <row r="337" ht="15.75" customHeight="1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  <c r="AA337" s="53" t="n"/>
      <c r="AB337" s="53" t="n"/>
      <c r="AC337" s="53" t="n"/>
      <c r="AD337" s="53" t="n"/>
      <c r="AE337" s="53" t="n"/>
      <c r="AF337" s="53" t="n"/>
      <c r="AG337" s="53" t="n"/>
      <c r="AH337" s="53" t="n"/>
    </row>
    <row r="338" ht="15.75" customHeight="1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  <c r="AA338" s="53" t="n"/>
      <c r="AB338" s="53" t="n"/>
      <c r="AC338" s="53" t="n"/>
      <c r="AD338" s="53" t="n"/>
      <c r="AE338" s="53" t="n"/>
      <c r="AF338" s="53" t="n"/>
      <c r="AG338" s="53" t="n"/>
      <c r="AH338" s="53" t="n"/>
    </row>
    <row r="339" ht="15.75" customHeight="1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  <c r="AA339" s="53" t="n"/>
      <c r="AB339" s="53" t="n"/>
      <c r="AC339" s="53" t="n"/>
      <c r="AD339" s="53" t="n"/>
      <c r="AE339" s="53" t="n"/>
      <c r="AF339" s="53" t="n"/>
      <c r="AG339" s="53" t="n"/>
      <c r="AH339" s="53" t="n"/>
    </row>
    <row r="340" ht="15.75" customHeight="1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  <c r="AA340" s="53" t="n"/>
      <c r="AB340" s="53" t="n"/>
      <c r="AC340" s="53" t="n"/>
      <c r="AD340" s="53" t="n"/>
      <c r="AE340" s="53" t="n"/>
      <c r="AF340" s="53" t="n"/>
      <c r="AG340" s="53" t="n"/>
      <c r="AH340" s="53" t="n"/>
    </row>
    <row r="341" ht="15.75" customHeight="1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  <c r="AA341" s="53" t="n"/>
      <c r="AB341" s="53" t="n"/>
      <c r="AC341" s="53" t="n"/>
      <c r="AD341" s="53" t="n"/>
      <c r="AE341" s="53" t="n"/>
      <c r="AF341" s="53" t="n"/>
      <c r="AG341" s="53" t="n"/>
      <c r="AH341" s="53" t="n"/>
    </row>
    <row r="342" ht="15.75" customHeight="1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  <c r="AA342" s="53" t="n"/>
      <c r="AB342" s="53" t="n"/>
      <c r="AC342" s="53" t="n"/>
      <c r="AD342" s="53" t="n"/>
      <c r="AE342" s="53" t="n"/>
      <c r="AF342" s="53" t="n"/>
      <c r="AG342" s="53" t="n"/>
      <c r="AH342" s="53" t="n"/>
    </row>
    <row r="343" ht="15.75" customHeight="1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  <c r="AA343" s="53" t="n"/>
      <c r="AB343" s="53" t="n"/>
      <c r="AC343" s="53" t="n"/>
      <c r="AD343" s="53" t="n"/>
      <c r="AE343" s="53" t="n"/>
      <c r="AF343" s="53" t="n"/>
      <c r="AG343" s="53" t="n"/>
      <c r="AH343" s="53" t="n"/>
    </row>
    <row r="344" ht="15.75" customHeight="1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  <c r="AA344" s="53" t="n"/>
      <c r="AB344" s="53" t="n"/>
      <c r="AC344" s="53" t="n"/>
      <c r="AD344" s="53" t="n"/>
      <c r="AE344" s="53" t="n"/>
      <c r="AF344" s="53" t="n"/>
      <c r="AG344" s="53" t="n"/>
      <c r="AH344" s="53" t="n"/>
    </row>
    <row r="345" ht="15.75" customHeight="1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  <c r="AA345" s="53" t="n"/>
      <c r="AB345" s="53" t="n"/>
      <c r="AC345" s="53" t="n"/>
      <c r="AD345" s="53" t="n"/>
      <c r="AE345" s="53" t="n"/>
      <c r="AF345" s="53" t="n"/>
      <c r="AG345" s="53" t="n"/>
      <c r="AH345" s="53" t="n"/>
    </row>
    <row r="346" ht="15.75" customHeight="1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  <c r="AA346" s="53" t="n"/>
      <c r="AB346" s="53" t="n"/>
      <c r="AC346" s="53" t="n"/>
      <c r="AD346" s="53" t="n"/>
      <c r="AE346" s="53" t="n"/>
      <c r="AF346" s="53" t="n"/>
      <c r="AG346" s="53" t="n"/>
      <c r="AH346" s="53" t="n"/>
    </row>
    <row r="347" ht="15.75" customHeight="1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  <c r="AA347" s="53" t="n"/>
      <c r="AB347" s="53" t="n"/>
      <c r="AC347" s="53" t="n"/>
      <c r="AD347" s="53" t="n"/>
      <c r="AE347" s="53" t="n"/>
      <c r="AF347" s="53" t="n"/>
      <c r="AG347" s="53" t="n"/>
      <c r="AH347" s="53" t="n"/>
    </row>
    <row r="348" ht="15.75" customHeight="1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  <c r="AA348" s="53" t="n"/>
      <c r="AB348" s="53" t="n"/>
      <c r="AC348" s="53" t="n"/>
      <c r="AD348" s="53" t="n"/>
      <c r="AE348" s="53" t="n"/>
      <c r="AF348" s="53" t="n"/>
      <c r="AG348" s="53" t="n"/>
      <c r="AH348" s="53" t="n"/>
    </row>
    <row r="349" ht="15.75" customHeight="1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  <c r="AA349" s="53" t="n"/>
      <c r="AB349" s="53" t="n"/>
      <c r="AC349" s="53" t="n"/>
      <c r="AD349" s="53" t="n"/>
      <c r="AE349" s="53" t="n"/>
      <c r="AF349" s="53" t="n"/>
      <c r="AG349" s="53" t="n"/>
      <c r="AH349" s="53" t="n"/>
    </row>
    <row r="350" ht="15.75" customHeight="1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  <c r="AA350" s="53" t="n"/>
      <c r="AB350" s="53" t="n"/>
      <c r="AC350" s="53" t="n"/>
      <c r="AD350" s="53" t="n"/>
      <c r="AE350" s="53" t="n"/>
      <c r="AF350" s="53" t="n"/>
      <c r="AG350" s="53" t="n"/>
      <c r="AH350" s="53" t="n"/>
    </row>
    <row r="351" ht="15.75" customHeight="1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  <c r="AA351" s="53" t="n"/>
      <c r="AB351" s="53" t="n"/>
      <c r="AC351" s="53" t="n"/>
      <c r="AD351" s="53" t="n"/>
      <c r="AE351" s="53" t="n"/>
      <c r="AF351" s="53" t="n"/>
      <c r="AG351" s="53" t="n"/>
      <c r="AH351" s="53" t="n"/>
    </row>
    <row r="352" ht="15.75" customHeight="1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  <c r="AA352" s="53" t="n"/>
      <c r="AB352" s="53" t="n"/>
      <c r="AC352" s="53" t="n"/>
      <c r="AD352" s="53" t="n"/>
      <c r="AE352" s="53" t="n"/>
      <c r="AF352" s="53" t="n"/>
      <c r="AG352" s="53" t="n"/>
      <c r="AH352" s="53" t="n"/>
    </row>
    <row r="353" ht="15.75" customHeight="1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  <c r="AA353" s="53" t="n"/>
      <c r="AB353" s="53" t="n"/>
      <c r="AC353" s="53" t="n"/>
      <c r="AD353" s="53" t="n"/>
      <c r="AE353" s="53" t="n"/>
      <c r="AF353" s="53" t="n"/>
      <c r="AG353" s="53" t="n"/>
      <c r="AH353" s="53" t="n"/>
    </row>
    <row r="354" ht="15.75" customHeight="1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  <c r="AA354" s="53" t="n"/>
      <c r="AB354" s="53" t="n"/>
      <c r="AC354" s="53" t="n"/>
      <c r="AD354" s="53" t="n"/>
      <c r="AE354" s="53" t="n"/>
      <c r="AF354" s="53" t="n"/>
      <c r="AG354" s="53" t="n"/>
      <c r="AH354" s="53" t="n"/>
    </row>
    <row r="355" ht="15.75" customHeight="1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  <c r="AA355" s="53" t="n"/>
      <c r="AB355" s="53" t="n"/>
      <c r="AC355" s="53" t="n"/>
      <c r="AD355" s="53" t="n"/>
      <c r="AE355" s="53" t="n"/>
      <c r="AF355" s="53" t="n"/>
      <c r="AG355" s="53" t="n"/>
      <c r="AH355" s="53" t="n"/>
    </row>
    <row r="356" ht="15.75" customHeight="1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  <c r="AA356" s="53" t="n"/>
      <c r="AB356" s="53" t="n"/>
      <c r="AC356" s="53" t="n"/>
      <c r="AD356" s="53" t="n"/>
      <c r="AE356" s="53" t="n"/>
      <c r="AF356" s="53" t="n"/>
      <c r="AG356" s="53" t="n"/>
      <c r="AH356" s="53" t="n"/>
    </row>
    <row r="357" ht="15.75" customHeight="1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  <c r="AA357" s="53" t="n"/>
      <c r="AB357" s="53" t="n"/>
      <c r="AC357" s="53" t="n"/>
      <c r="AD357" s="53" t="n"/>
      <c r="AE357" s="53" t="n"/>
      <c r="AF357" s="53" t="n"/>
      <c r="AG357" s="53" t="n"/>
      <c r="AH357" s="53" t="n"/>
    </row>
    <row r="358" ht="15.75" customHeight="1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  <c r="AA358" s="53" t="n"/>
      <c r="AB358" s="53" t="n"/>
      <c r="AC358" s="53" t="n"/>
      <c r="AD358" s="53" t="n"/>
      <c r="AE358" s="53" t="n"/>
      <c r="AF358" s="53" t="n"/>
      <c r="AG358" s="53" t="n"/>
      <c r="AH358" s="53" t="n"/>
    </row>
    <row r="359" ht="15.75" customHeight="1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  <c r="AA359" s="53" t="n"/>
      <c r="AB359" s="53" t="n"/>
      <c r="AC359" s="53" t="n"/>
      <c r="AD359" s="53" t="n"/>
      <c r="AE359" s="53" t="n"/>
      <c r="AF359" s="53" t="n"/>
      <c r="AG359" s="53" t="n"/>
      <c r="AH359" s="53" t="n"/>
    </row>
    <row r="360" ht="15.75" customHeight="1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  <c r="AA360" s="53" t="n"/>
      <c r="AB360" s="53" t="n"/>
      <c r="AC360" s="53" t="n"/>
      <c r="AD360" s="53" t="n"/>
      <c r="AE360" s="53" t="n"/>
      <c r="AF360" s="53" t="n"/>
      <c r="AG360" s="53" t="n"/>
      <c r="AH360" s="53" t="n"/>
    </row>
    <row r="361" ht="15.75" customHeight="1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  <c r="AA361" s="53" t="n"/>
      <c r="AB361" s="53" t="n"/>
      <c r="AC361" s="53" t="n"/>
      <c r="AD361" s="53" t="n"/>
      <c r="AE361" s="53" t="n"/>
      <c r="AF361" s="53" t="n"/>
      <c r="AG361" s="53" t="n"/>
      <c r="AH361" s="53" t="n"/>
    </row>
    <row r="362" ht="15.75" customHeight="1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  <c r="AA362" s="53" t="n"/>
      <c r="AB362" s="53" t="n"/>
      <c r="AC362" s="53" t="n"/>
      <c r="AD362" s="53" t="n"/>
      <c r="AE362" s="53" t="n"/>
      <c r="AF362" s="53" t="n"/>
      <c r="AG362" s="53" t="n"/>
      <c r="AH362" s="53" t="n"/>
    </row>
    <row r="363" ht="15.75" customHeight="1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  <c r="AA363" s="53" t="n"/>
      <c r="AB363" s="53" t="n"/>
      <c r="AC363" s="53" t="n"/>
      <c r="AD363" s="53" t="n"/>
      <c r="AE363" s="53" t="n"/>
      <c r="AF363" s="53" t="n"/>
      <c r="AG363" s="53" t="n"/>
      <c r="AH363" s="53" t="n"/>
    </row>
    <row r="364" ht="15.75" customHeight="1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  <c r="AA364" s="53" t="n"/>
      <c r="AB364" s="53" t="n"/>
      <c r="AC364" s="53" t="n"/>
      <c r="AD364" s="53" t="n"/>
      <c r="AE364" s="53" t="n"/>
      <c r="AF364" s="53" t="n"/>
      <c r="AG364" s="53" t="n"/>
      <c r="AH364" s="53" t="n"/>
    </row>
    <row r="365" ht="15.75" customHeight="1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  <c r="AA365" s="53" t="n"/>
      <c r="AB365" s="53" t="n"/>
      <c r="AC365" s="53" t="n"/>
      <c r="AD365" s="53" t="n"/>
      <c r="AE365" s="53" t="n"/>
      <c r="AF365" s="53" t="n"/>
      <c r="AG365" s="53" t="n"/>
      <c r="AH365" s="53" t="n"/>
    </row>
    <row r="366" ht="15.75" customHeight="1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  <c r="AA366" s="53" t="n"/>
      <c r="AB366" s="53" t="n"/>
      <c r="AC366" s="53" t="n"/>
      <c r="AD366" s="53" t="n"/>
      <c r="AE366" s="53" t="n"/>
      <c r="AF366" s="53" t="n"/>
      <c r="AG366" s="53" t="n"/>
      <c r="AH366" s="53" t="n"/>
    </row>
    <row r="367" ht="15.75" customHeight="1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  <c r="AA367" s="53" t="n"/>
      <c r="AB367" s="53" t="n"/>
      <c r="AC367" s="53" t="n"/>
      <c r="AD367" s="53" t="n"/>
      <c r="AE367" s="53" t="n"/>
      <c r="AF367" s="53" t="n"/>
      <c r="AG367" s="53" t="n"/>
      <c r="AH367" s="53" t="n"/>
    </row>
    <row r="368" ht="15.75" customHeight="1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  <c r="AA368" s="53" t="n"/>
      <c r="AB368" s="53" t="n"/>
      <c r="AC368" s="53" t="n"/>
      <c r="AD368" s="53" t="n"/>
      <c r="AE368" s="53" t="n"/>
      <c r="AF368" s="53" t="n"/>
      <c r="AG368" s="53" t="n"/>
      <c r="AH368" s="53" t="n"/>
    </row>
    <row r="369" ht="15.75" customHeight="1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  <c r="AA369" s="53" t="n"/>
      <c r="AB369" s="53" t="n"/>
      <c r="AC369" s="53" t="n"/>
      <c r="AD369" s="53" t="n"/>
      <c r="AE369" s="53" t="n"/>
      <c r="AF369" s="53" t="n"/>
      <c r="AG369" s="53" t="n"/>
      <c r="AH369" s="53" t="n"/>
    </row>
    <row r="370" ht="15.75" customHeight="1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</row>
    <row r="371" ht="15.75" customHeight="1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  <c r="AA371" s="53" t="n"/>
      <c r="AB371" s="53" t="n"/>
      <c r="AC371" s="53" t="n"/>
      <c r="AD371" s="53" t="n"/>
      <c r="AE371" s="53" t="n"/>
      <c r="AF371" s="53" t="n"/>
      <c r="AG371" s="53" t="n"/>
      <c r="AH371" s="53" t="n"/>
    </row>
    <row r="372" ht="15.75" customHeight="1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  <c r="AA372" s="53" t="n"/>
      <c r="AB372" s="53" t="n"/>
      <c r="AC372" s="53" t="n"/>
      <c r="AD372" s="53" t="n"/>
      <c r="AE372" s="53" t="n"/>
      <c r="AF372" s="53" t="n"/>
      <c r="AG372" s="53" t="n"/>
      <c r="AH372" s="53" t="n"/>
    </row>
    <row r="373" ht="15.75" customHeight="1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  <c r="AA373" s="53" t="n"/>
      <c r="AB373" s="53" t="n"/>
      <c r="AC373" s="53" t="n"/>
      <c r="AD373" s="53" t="n"/>
      <c r="AE373" s="53" t="n"/>
      <c r="AF373" s="53" t="n"/>
      <c r="AG373" s="53" t="n"/>
      <c r="AH373" s="53" t="n"/>
    </row>
    <row r="374" ht="15.75" customHeight="1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  <c r="AA374" s="53" t="n"/>
      <c r="AB374" s="53" t="n"/>
      <c r="AC374" s="53" t="n"/>
      <c r="AD374" s="53" t="n"/>
      <c r="AE374" s="53" t="n"/>
      <c r="AF374" s="53" t="n"/>
      <c r="AG374" s="53" t="n"/>
      <c r="AH374" s="53" t="n"/>
    </row>
    <row r="375" ht="15.75" customHeight="1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  <c r="AA375" s="53" t="n"/>
      <c r="AB375" s="53" t="n"/>
      <c r="AC375" s="53" t="n"/>
      <c r="AD375" s="53" t="n"/>
      <c r="AE375" s="53" t="n"/>
      <c r="AF375" s="53" t="n"/>
      <c r="AG375" s="53" t="n"/>
      <c r="AH375" s="53" t="n"/>
    </row>
    <row r="376" ht="15.75" customHeight="1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  <c r="AA376" s="53" t="n"/>
      <c r="AB376" s="53" t="n"/>
      <c r="AC376" s="53" t="n"/>
      <c r="AD376" s="53" t="n"/>
      <c r="AE376" s="53" t="n"/>
      <c r="AF376" s="53" t="n"/>
      <c r="AG376" s="53" t="n"/>
      <c r="AH376" s="53" t="n"/>
    </row>
    <row r="377" ht="15.75" customHeight="1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  <c r="AA377" s="53" t="n"/>
      <c r="AB377" s="53" t="n"/>
      <c r="AC377" s="53" t="n"/>
      <c r="AD377" s="53" t="n"/>
      <c r="AE377" s="53" t="n"/>
      <c r="AF377" s="53" t="n"/>
      <c r="AG377" s="53" t="n"/>
      <c r="AH377" s="53" t="n"/>
    </row>
    <row r="378" ht="15.75" customHeight="1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  <c r="AA378" s="53" t="n"/>
      <c r="AB378" s="53" t="n"/>
      <c r="AC378" s="53" t="n"/>
      <c r="AD378" s="53" t="n"/>
      <c r="AE378" s="53" t="n"/>
      <c r="AF378" s="53" t="n"/>
      <c r="AG378" s="53" t="n"/>
      <c r="AH378" s="53" t="n"/>
    </row>
    <row r="379" ht="15.75" customHeight="1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  <c r="AA379" s="53" t="n"/>
      <c r="AB379" s="53" t="n"/>
      <c r="AC379" s="53" t="n"/>
      <c r="AD379" s="53" t="n"/>
      <c r="AE379" s="53" t="n"/>
      <c r="AF379" s="53" t="n"/>
      <c r="AG379" s="53" t="n"/>
      <c r="AH379" s="53" t="n"/>
    </row>
    <row r="380" ht="15.75" customHeight="1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  <c r="AA380" s="53" t="n"/>
      <c r="AB380" s="53" t="n"/>
      <c r="AC380" s="53" t="n"/>
      <c r="AD380" s="53" t="n"/>
      <c r="AE380" s="53" t="n"/>
      <c r="AF380" s="53" t="n"/>
      <c r="AG380" s="53" t="n"/>
      <c r="AH380" s="53" t="n"/>
    </row>
    <row r="381" ht="15.75" customHeight="1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  <c r="AA381" s="53" t="n"/>
      <c r="AB381" s="53" t="n"/>
      <c r="AC381" s="53" t="n"/>
      <c r="AD381" s="53" t="n"/>
      <c r="AE381" s="53" t="n"/>
      <c r="AF381" s="53" t="n"/>
      <c r="AG381" s="53" t="n"/>
      <c r="AH381" s="53" t="n"/>
    </row>
    <row r="382" ht="15.75" customHeight="1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  <c r="AA382" s="53" t="n"/>
      <c r="AB382" s="53" t="n"/>
      <c r="AC382" s="53" t="n"/>
      <c r="AD382" s="53" t="n"/>
      <c r="AE382" s="53" t="n"/>
      <c r="AF382" s="53" t="n"/>
      <c r="AG382" s="53" t="n"/>
      <c r="AH382" s="53" t="n"/>
    </row>
    <row r="383" ht="15.75" customHeight="1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  <c r="AA383" s="53" t="n"/>
      <c r="AB383" s="53" t="n"/>
      <c r="AC383" s="53" t="n"/>
      <c r="AD383" s="53" t="n"/>
      <c r="AE383" s="53" t="n"/>
      <c r="AF383" s="53" t="n"/>
      <c r="AG383" s="53" t="n"/>
      <c r="AH383" s="53" t="n"/>
    </row>
    <row r="384" ht="15.75" customHeight="1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  <c r="AA384" s="53" t="n"/>
      <c r="AB384" s="53" t="n"/>
      <c r="AC384" s="53" t="n"/>
      <c r="AD384" s="53" t="n"/>
      <c r="AE384" s="53" t="n"/>
      <c r="AF384" s="53" t="n"/>
      <c r="AG384" s="53" t="n"/>
      <c r="AH384" s="53" t="n"/>
    </row>
    <row r="385" ht="15.75" customHeight="1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  <c r="AA385" s="53" t="n"/>
      <c r="AB385" s="53" t="n"/>
      <c r="AC385" s="53" t="n"/>
      <c r="AD385" s="53" t="n"/>
      <c r="AE385" s="53" t="n"/>
      <c r="AF385" s="53" t="n"/>
      <c r="AG385" s="53" t="n"/>
      <c r="AH385" s="53" t="n"/>
    </row>
    <row r="386" ht="15.75" customHeight="1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  <c r="AA386" s="53" t="n"/>
      <c r="AB386" s="53" t="n"/>
      <c r="AC386" s="53" t="n"/>
      <c r="AD386" s="53" t="n"/>
      <c r="AE386" s="53" t="n"/>
      <c r="AF386" s="53" t="n"/>
      <c r="AG386" s="53" t="n"/>
      <c r="AH386" s="53" t="n"/>
    </row>
    <row r="387" ht="15.75" customHeight="1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  <c r="AA387" s="53" t="n"/>
      <c r="AB387" s="53" t="n"/>
      <c r="AC387" s="53" t="n"/>
      <c r="AD387" s="53" t="n"/>
      <c r="AE387" s="53" t="n"/>
      <c r="AF387" s="53" t="n"/>
      <c r="AG387" s="53" t="n"/>
      <c r="AH387" s="53" t="n"/>
    </row>
    <row r="388" ht="15.75" customHeight="1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  <c r="AA388" s="53" t="n"/>
      <c r="AB388" s="53" t="n"/>
      <c r="AC388" s="53" t="n"/>
      <c r="AD388" s="53" t="n"/>
      <c r="AE388" s="53" t="n"/>
      <c r="AF388" s="53" t="n"/>
      <c r="AG388" s="53" t="n"/>
      <c r="AH388" s="53" t="n"/>
    </row>
    <row r="389" ht="15.75" customHeight="1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  <c r="AA389" s="53" t="n"/>
      <c r="AB389" s="53" t="n"/>
      <c r="AC389" s="53" t="n"/>
      <c r="AD389" s="53" t="n"/>
      <c r="AE389" s="53" t="n"/>
      <c r="AF389" s="53" t="n"/>
      <c r="AG389" s="53" t="n"/>
      <c r="AH389" s="53" t="n"/>
    </row>
    <row r="390" ht="15.75" customHeight="1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  <c r="AA390" s="53" t="n"/>
      <c r="AB390" s="53" t="n"/>
      <c r="AC390" s="53" t="n"/>
      <c r="AD390" s="53" t="n"/>
      <c r="AE390" s="53" t="n"/>
      <c r="AF390" s="53" t="n"/>
      <c r="AG390" s="53" t="n"/>
      <c r="AH390" s="53" t="n"/>
    </row>
    <row r="391" ht="15.75" customHeight="1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  <c r="AA391" s="53" t="n"/>
      <c r="AB391" s="53" t="n"/>
      <c r="AC391" s="53" t="n"/>
      <c r="AD391" s="53" t="n"/>
      <c r="AE391" s="53" t="n"/>
      <c r="AF391" s="53" t="n"/>
      <c r="AG391" s="53" t="n"/>
      <c r="AH391" s="53" t="n"/>
    </row>
    <row r="392" ht="15.75" customHeight="1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  <c r="AA392" s="53" t="n"/>
      <c r="AB392" s="53" t="n"/>
      <c r="AC392" s="53" t="n"/>
      <c r="AD392" s="53" t="n"/>
      <c r="AE392" s="53" t="n"/>
      <c r="AF392" s="53" t="n"/>
      <c r="AG392" s="53" t="n"/>
      <c r="AH392" s="53" t="n"/>
    </row>
    <row r="393" ht="15.75" customHeight="1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  <c r="AA393" s="53" t="n"/>
      <c r="AB393" s="53" t="n"/>
      <c r="AC393" s="53" t="n"/>
      <c r="AD393" s="53" t="n"/>
      <c r="AE393" s="53" t="n"/>
      <c r="AF393" s="53" t="n"/>
      <c r="AG393" s="53" t="n"/>
      <c r="AH393" s="53" t="n"/>
    </row>
    <row r="394" ht="15.75" customHeight="1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  <c r="AA394" s="53" t="n"/>
      <c r="AB394" s="53" t="n"/>
      <c r="AC394" s="53" t="n"/>
      <c r="AD394" s="53" t="n"/>
      <c r="AE394" s="53" t="n"/>
      <c r="AF394" s="53" t="n"/>
      <c r="AG394" s="53" t="n"/>
      <c r="AH394" s="53" t="n"/>
    </row>
    <row r="395" ht="15.75" customHeight="1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  <c r="AA395" s="53" t="n"/>
      <c r="AB395" s="53" t="n"/>
      <c r="AC395" s="53" t="n"/>
      <c r="AD395" s="53" t="n"/>
      <c r="AE395" s="53" t="n"/>
      <c r="AF395" s="53" t="n"/>
      <c r="AG395" s="53" t="n"/>
      <c r="AH395" s="53" t="n"/>
    </row>
    <row r="396" ht="15.75" customHeight="1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  <c r="AA396" s="53" t="n"/>
      <c r="AB396" s="53" t="n"/>
      <c r="AC396" s="53" t="n"/>
      <c r="AD396" s="53" t="n"/>
      <c r="AE396" s="53" t="n"/>
      <c r="AF396" s="53" t="n"/>
      <c r="AG396" s="53" t="n"/>
      <c r="AH396" s="53" t="n"/>
    </row>
    <row r="397" ht="15.75" customHeight="1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  <c r="AA397" s="53" t="n"/>
      <c r="AB397" s="53" t="n"/>
      <c r="AC397" s="53" t="n"/>
      <c r="AD397" s="53" t="n"/>
      <c r="AE397" s="53" t="n"/>
      <c r="AF397" s="53" t="n"/>
      <c r="AG397" s="53" t="n"/>
      <c r="AH397" s="53" t="n"/>
    </row>
    <row r="398" ht="15.75" customHeight="1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  <c r="AA398" s="53" t="n"/>
      <c r="AB398" s="53" t="n"/>
      <c r="AC398" s="53" t="n"/>
      <c r="AD398" s="53" t="n"/>
      <c r="AE398" s="53" t="n"/>
      <c r="AF398" s="53" t="n"/>
      <c r="AG398" s="53" t="n"/>
      <c r="AH398" s="53" t="n"/>
    </row>
    <row r="399" ht="15.75" customHeight="1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  <c r="AA399" s="53" t="n"/>
      <c r="AB399" s="53" t="n"/>
      <c r="AC399" s="53" t="n"/>
      <c r="AD399" s="53" t="n"/>
      <c r="AE399" s="53" t="n"/>
      <c r="AF399" s="53" t="n"/>
      <c r="AG399" s="53" t="n"/>
      <c r="AH399" s="53" t="n"/>
    </row>
    <row r="400" ht="15.75" customHeight="1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  <c r="AA400" s="53" t="n"/>
      <c r="AB400" s="53" t="n"/>
      <c r="AC400" s="53" t="n"/>
      <c r="AD400" s="53" t="n"/>
      <c r="AE400" s="53" t="n"/>
      <c r="AF400" s="53" t="n"/>
      <c r="AG400" s="53" t="n"/>
      <c r="AH400" s="53" t="n"/>
    </row>
    <row r="401" ht="15.75" customHeight="1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  <c r="AA401" s="53" t="n"/>
      <c r="AB401" s="53" t="n"/>
      <c r="AC401" s="53" t="n"/>
      <c r="AD401" s="53" t="n"/>
      <c r="AE401" s="53" t="n"/>
      <c r="AF401" s="53" t="n"/>
      <c r="AG401" s="53" t="n"/>
      <c r="AH401" s="53" t="n"/>
    </row>
    <row r="402" ht="15.75" customHeight="1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  <c r="AA402" s="53" t="n"/>
      <c r="AB402" s="53" t="n"/>
      <c r="AC402" s="53" t="n"/>
      <c r="AD402" s="53" t="n"/>
      <c r="AE402" s="53" t="n"/>
      <c r="AF402" s="53" t="n"/>
      <c r="AG402" s="53" t="n"/>
      <c r="AH402" s="53" t="n"/>
    </row>
    <row r="403" ht="15.75" customHeight="1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  <c r="AA403" s="53" t="n"/>
      <c r="AB403" s="53" t="n"/>
      <c r="AC403" s="53" t="n"/>
      <c r="AD403" s="53" t="n"/>
      <c r="AE403" s="53" t="n"/>
      <c r="AF403" s="53" t="n"/>
      <c r="AG403" s="53" t="n"/>
      <c r="AH403" s="53" t="n"/>
    </row>
    <row r="404" ht="15.75" customHeight="1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  <c r="AA404" s="53" t="n"/>
      <c r="AB404" s="53" t="n"/>
      <c r="AC404" s="53" t="n"/>
      <c r="AD404" s="53" t="n"/>
      <c r="AE404" s="53" t="n"/>
      <c r="AF404" s="53" t="n"/>
      <c r="AG404" s="53" t="n"/>
      <c r="AH404" s="53" t="n"/>
    </row>
    <row r="405" ht="15.75" customHeight="1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  <c r="AA405" s="53" t="n"/>
      <c r="AB405" s="53" t="n"/>
      <c r="AC405" s="53" t="n"/>
      <c r="AD405" s="53" t="n"/>
      <c r="AE405" s="53" t="n"/>
      <c r="AF405" s="53" t="n"/>
      <c r="AG405" s="53" t="n"/>
      <c r="AH405" s="53" t="n"/>
    </row>
    <row r="406" ht="15.75" customHeight="1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  <c r="AA406" s="53" t="n"/>
      <c r="AB406" s="53" t="n"/>
      <c r="AC406" s="53" t="n"/>
      <c r="AD406" s="53" t="n"/>
      <c r="AE406" s="53" t="n"/>
      <c r="AF406" s="53" t="n"/>
      <c r="AG406" s="53" t="n"/>
      <c r="AH406" s="53" t="n"/>
    </row>
    <row r="407" ht="15.75" customHeight="1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  <c r="AA407" s="53" t="n"/>
      <c r="AB407" s="53" t="n"/>
      <c r="AC407" s="53" t="n"/>
      <c r="AD407" s="53" t="n"/>
      <c r="AE407" s="53" t="n"/>
      <c r="AF407" s="53" t="n"/>
      <c r="AG407" s="53" t="n"/>
      <c r="AH407" s="53" t="n"/>
    </row>
    <row r="408" ht="15.75" customHeight="1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  <c r="AA408" s="53" t="n"/>
      <c r="AB408" s="53" t="n"/>
      <c r="AC408" s="53" t="n"/>
      <c r="AD408" s="53" t="n"/>
      <c r="AE408" s="53" t="n"/>
      <c r="AF408" s="53" t="n"/>
      <c r="AG408" s="53" t="n"/>
      <c r="AH408" s="53" t="n"/>
    </row>
    <row r="409" ht="15.75" customHeight="1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  <c r="AA409" s="53" t="n"/>
      <c r="AB409" s="53" t="n"/>
      <c r="AC409" s="53" t="n"/>
      <c r="AD409" s="53" t="n"/>
      <c r="AE409" s="53" t="n"/>
      <c r="AF409" s="53" t="n"/>
      <c r="AG409" s="53" t="n"/>
      <c r="AH409" s="53" t="n"/>
    </row>
    <row r="410" ht="15.75" customHeight="1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  <c r="AA410" s="53" t="n"/>
      <c r="AB410" s="53" t="n"/>
      <c r="AC410" s="53" t="n"/>
      <c r="AD410" s="53" t="n"/>
      <c r="AE410" s="53" t="n"/>
      <c r="AF410" s="53" t="n"/>
      <c r="AG410" s="53" t="n"/>
      <c r="AH410" s="53" t="n"/>
    </row>
    <row r="411" ht="15.75" customHeight="1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  <c r="AA411" s="53" t="n"/>
      <c r="AB411" s="53" t="n"/>
      <c r="AC411" s="53" t="n"/>
      <c r="AD411" s="53" t="n"/>
      <c r="AE411" s="53" t="n"/>
      <c r="AF411" s="53" t="n"/>
      <c r="AG411" s="53" t="n"/>
      <c r="AH411" s="53" t="n"/>
    </row>
    <row r="412" ht="15.75" customHeight="1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  <c r="AA412" s="53" t="n"/>
      <c r="AB412" s="53" t="n"/>
      <c r="AC412" s="53" t="n"/>
      <c r="AD412" s="53" t="n"/>
      <c r="AE412" s="53" t="n"/>
      <c r="AF412" s="53" t="n"/>
      <c r="AG412" s="53" t="n"/>
      <c r="AH412" s="53" t="n"/>
    </row>
    <row r="413" ht="15.75" customHeight="1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  <c r="AA413" s="53" t="n"/>
      <c r="AB413" s="53" t="n"/>
      <c r="AC413" s="53" t="n"/>
      <c r="AD413" s="53" t="n"/>
      <c r="AE413" s="53" t="n"/>
      <c r="AF413" s="53" t="n"/>
      <c r="AG413" s="53" t="n"/>
      <c r="AH413" s="53" t="n"/>
    </row>
    <row r="414" ht="15.75" customHeight="1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  <c r="AA414" s="53" t="n"/>
      <c r="AB414" s="53" t="n"/>
      <c r="AC414" s="53" t="n"/>
      <c r="AD414" s="53" t="n"/>
      <c r="AE414" s="53" t="n"/>
      <c r="AF414" s="53" t="n"/>
      <c r="AG414" s="53" t="n"/>
      <c r="AH414" s="53" t="n"/>
    </row>
    <row r="415" ht="15.75" customHeight="1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  <c r="AA415" s="53" t="n"/>
      <c r="AB415" s="53" t="n"/>
      <c r="AC415" s="53" t="n"/>
      <c r="AD415" s="53" t="n"/>
      <c r="AE415" s="53" t="n"/>
      <c r="AF415" s="53" t="n"/>
      <c r="AG415" s="53" t="n"/>
      <c r="AH415" s="53" t="n"/>
    </row>
    <row r="416" ht="15.75" customHeight="1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  <c r="AA416" s="53" t="n"/>
      <c r="AB416" s="53" t="n"/>
      <c r="AC416" s="53" t="n"/>
      <c r="AD416" s="53" t="n"/>
      <c r="AE416" s="53" t="n"/>
      <c r="AF416" s="53" t="n"/>
      <c r="AG416" s="53" t="n"/>
      <c r="AH416" s="53" t="n"/>
    </row>
    <row r="417" ht="15.75" customHeight="1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  <c r="AA417" s="53" t="n"/>
      <c r="AB417" s="53" t="n"/>
      <c r="AC417" s="53" t="n"/>
      <c r="AD417" s="53" t="n"/>
      <c r="AE417" s="53" t="n"/>
      <c r="AF417" s="53" t="n"/>
      <c r="AG417" s="53" t="n"/>
      <c r="AH417" s="53" t="n"/>
    </row>
    <row r="418" ht="15.75" customHeight="1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  <c r="AA418" s="53" t="n"/>
      <c r="AB418" s="53" t="n"/>
      <c r="AC418" s="53" t="n"/>
      <c r="AD418" s="53" t="n"/>
      <c r="AE418" s="53" t="n"/>
      <c r="AF418" s="53" t="n"/>
      <c r="AG418" s="53" t="n"/>
      <c r="AH418" s="53" t="n"/>
    </row>
    <row r="419" ht="15.75" customHeight="1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  <c r="AA419" s="53" t="n"/>
      <c r="AB419" s="53" t="n"/>
      <c r="AC419" s="53" t="n"/>
      <c r="AD419" s="53" t="n"/>
      <c r="AE419" s="53" t="n"/>
      <c r="AF419" s="53" t="n"/>
      <c r="AG419" s="53" t="n"/>
      <c r="AH419" s="53" t="n"/>
    </row>
    <row r="420" ht="15.75" customHeight="1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  <c r="AA420" s="53" t="n"/>
      <c r="AB420" s="53" t="n"/>
      <c r="AC420" s="53" t="n"/>
      <c r="AD420" s="53" t="n"/>
      <c r="AE420" s="53" t="n"/>
      <c r="AF420" s="53" t="n"/>
      <c r="AG420" s="53" t="n"/>
      <c r="AH420" s="53" t="n"/>
    </row>
    <row r="421" ht="15.75" customHeight="1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  <c r="AA421" s="53" t="n"/>
      <c r="AB421" s="53" t="n"/>
      <c r="AC421" s="53" t="n"/>
      <c r="AD421" s="53" t="n"/>
      <c r="AE421" s="53" t="n"/>
      <c r="AF421" s="53" t="n"/>
      <c r="AG421" s="53" t="n"/>
      <c r="AH421" s="53" t="n"/>
    </row>
    <row r="422" ht="15.75" customHeight="1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  <c r="AA422" s="53" t="n"/>
      <c r="AB422" s="53" t="n"/>
      <c r="AC422" s="53" t="n"/>
      <c r="AD422" s="53" t="n"/>
      <c r="AE422" s="53" t="n"/>
      <c r="AF422" s="53" t="n"/>
      <c r="AG422" s="53" t="n"/>
      <c r="AH422" s="53" t="n"/>
    </row>
    <row r="423" ht="15.75" customHeight="1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  <c r="AA423" s="53" t="n"/>
      <c r="AB423" s="53" t="n"/>
      <c r="AC423" s="53" t="n"/>
      <c r="AD423" s="53" t="n"/>
      <c r="AE423" s="53" t="n"/>
      <c r="AF423" s="53" t="n"/>
      <c r="AG423" s="53" t="n"/>
      <c r="AH423" s="53" t="n"/>
    </row>
    <row r="424" ht="15.75" customHeight="1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  <c r="AA424" s="53" t="n"/>
      <c r="AB424" s="53" t="n"/>
      <c r="AC424" s="53" t="n"/>
      <c r="AD424" s="53" t="n"/>
      <c r="AE424" s="53" t="n"/>
      <c r="AF424" s="53" t="n"/>
      <c r="AG424" s="53" t="n"/>
      <c r="AH424" s="53" t="n"/>
    </row>
    <row r="425" ht="15.75" customHeight="1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  <c r="AA425" s="53" t="n"/>
      <c r="AB425" s="53" t="n"/>
      <c r="AC425" s="53" t="n"/>
      <c r="AD425" s="53" t="n"/>
      <c r="AE425" s="53" t="n"/>
      <c r="AF425" s="53" t="n"/>
      <c r="AG425" s="53" t="n"/>
      <c r="AH425" s="53" t="n"/>
    </row>
    <row r="426" ht="15.75" customHeight="1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  <c r="AA426" s="53" t="n"/>
      <c r="AB426" s="53" t="n"/>
      <c r="AC426" s="53" t="n"/>
      <c r="AD426" s="53" t="n"/>
      <c r="AE426" s="53" t="n"/>
      <c r="AF426" s="53" t="n"/>
      <c r="AG426" s="53" t="n"/>
      <c r="AH426" s="53" t="n"/>
    </row>
    <row r="427" ht="15.75" customHeight="1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  <c r="AA427" s="53" t="n"/>
      <c r="AB427" s="53" t="n"/>
      <c r="AC427" s="53" t="n"/>
      <c r="AD427" s="53" t="n"/>
      <c r="AE427" s="53" t="n"/>
      <c r="AF427" s="53" t="n"/>
      <c r="AG427" s="53" t="n"/>
      <c r="AH427" s="53" t="n"/>
    </row>
    <row r="428" ht="15.75" customHeight="1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  <c r="AA428" s="53" t="n"/>
      <c r="AB428" s="53" t="n"/>
      <c r="AC428" s="53" t="n"/>
      <c r="AD428" s="53" t="n"/>
      <c r="AE428" s="53" t="n"/>
      <c r="AF428" s="53" t="n"/>
      <c r="AG428" s="53" t="n"/>
      <c r="AH428" s="53" t="n"/>
    </row>
    <row r="429" ht="15.75" customHeight="1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  <c r="AA429" s="53" t="n"/>
      <c r="AB429" s="53" t="n"/>
      <c r="AC429" s="53" t="n"/>
      <c r="AD429" s="53" t="n"/>
      <c r="AE429" s="53" t="n"/>
      <c r="AF429" s="53" t="n"/>
      <c r="AG429" s="53" t="n"/>
      <c r="AH429" s="53" t="n"/>
    </row>
    <row r="430" ht="15.75" customHeight="1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  <c r="AA430" s="53" t="n"/>
      <c r="AB430" s="53" t="n"/>
      <c r="AC430" s="53" t="n"/>
      <c r="AD430" s="53" t="n"/>
      <c r="AE430" s="53" t="n"/>
      <c r="AF430" s="53" t="n"/>
      <c r="AG430" s="53" t="n"/>
      <c r="AH430" s="53" t="n"/>
    </row>
    <row r="431" ht="15.75" customHeight="1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  <c r="AA431" s="53" t="n"/>
      <c r="AB431" s="53" t="n"/>
      <c r="AC431" s="53" t="n"/>
      <c r="AD431" s="53" t="n"/>
      <c r="AE431" s="53" t="n"/>
      <c r="AF431" s="53" t="n"/>
      <c r="AG431" s="53" t="n"/>
      <c r="AH431" s="53" t="n"/>
    </row>
    <row r="432" ht="15.75" customHeight="1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  <c r="AA432" s="53" t="n"/>
      <c r="AB432" s="53" t="n"/>
      <c r="AC432" s="53" t="n"/>
      <c r="AD432" s="53" t="n"/>
      <c r="AE432" s="53" t="n"/>
      <c r="AF432" s="53" t="n"/>
      <c r="AG432" s="53" t="n"/>
      <c r="AH432" s="53" t="n"/>
    </row>
    <row r="433" ht="15.75" customHeight="1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  <c r="AA433" s="53" t="n"/>
      <c r="AB433" s="53" t="n"/>
      <c r="AC433" s="53" t="n"/>
      <c r="AD433" s="53" t="n"/>
      <c r="AE433" s="53" t="n"/>
      <c r="AF433" s="53" t="n"/>
      <c r="AG433" s="53" t="n"/>
      <c r="AH433" s="53" t="n"/>
    </row>
    <row r="434" ht="15.75" customHeight="1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  <c r="AA434" s="53" t="n"/>
      <c r="AB434" s="53" t="n"/>
      <c r="AC434" s="53" t="n"/>
      <c r="AD434" s="53" t="n"/>
      <c r="AE434" s="53" t="n"/>
      <c r="AF434" s="53" t="n"/>
      <c r="AG434" s="53" t="n"/>
      <c r="AH434" s="53" t="n"/>
    </row>
    <row r="435" ht="15.75" customHeight="1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  <c r="AA435" s="53" t="n"/>
      <c r="AB435" s="53" t="n"/>
      <c r="AC435" s="53" t="n"/>
      <c r="AD435" s="53" t="n"/>
      <c r="AE435" s="53" t="n"/>
      <c r="AF435" s="53" t="n"/>
      <c r="AG435" s="53" t="n"/>
      <c r="AH435" s="53" t="n"/>
    </row>
    <row r="436" ht="15.75" customHeight="1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  <c r="AA436" s="53" t="n"/>
      <c r="AB436" s="53" t="n"/>
      <c r="AC436" s="53" t="n"/>
      <c r="AD436" s="53" t="n"/>
      <c r="AE436" s="53" t="n"/>
      <c r="AF436" s="53" t="n"/>
      <c r="AG436" s="53" t="n"/>
      <c r="AH436" s="53" t="n"/>
    </row>
    <row r="437" ht="15.75" customHeight="1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  <c r="AA437" s="53" t="n"/>
      <c r="AB437" s="53" t="n"/>
      <c r="AC437" s="53" t="n"/>
      <c r="AD437" s="53" t="n"/>
      <c r="AE437" s="53" t="n"/>
      <c r="AF437" s="53" t="n"/>
      <c r="AG437" s="53" t="n"/>
      <c r="AH437" s="53" t="n"/>
    </row>
    <row r="438" ht="15.75" customHeight="1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  <c r="AA438" s="53" t="n"/>
      <c r="AB438" s="53" t="n"/>
      <c r="AC438" s="53" t="n"/>
      <c r="AD438" s="53" t="n"/>
      <c r="AE438" s="53" t="n"/>
      <c r="AF438" s="53" t="n"/>
      <c r="AG438" s="53" t="n"/>
      <c r="AH438" s="53" t="n"/>
    </row>
    <row r="439" ht="15.75" customHeight="1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  <c r="AA439" s="53" t="n"/>
      <c r="AB439" s="53" t="n"/>
      <c r="AC439" s="53" t="n"/>
      <c r="AD439" s="53" t="n"/>
      <c r="AE439" s="53" t="n"/>
      <c r="AF439" s="53" t="n"/>
      <c r="AG439" s="53" t="n"/>
      <c r="AH439" s="53" t="n"/>
    </row>
    <row r="440" ht="15.75" customHeight="1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  <c r="AA440" s="53" t="n"/>
      <c r="AB440" s="53" t="n"/>
      <c r="AC440" s="53" t="n"/>
      <c r="AD440" s="53" t="n"/>
      <c r="AE440" s="53" t="n"/>
      <c r="AF440" s="53" t="n"/>
      <c r="AG440" s="53" t="n"/>
      <c r="AH440" s="53" t="n"/>
    </row>
    <row r="441" ht="15.75" customHeight="1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  <c r="AA441" s="53" t="n"/>
      <c r="AB441" s="53" t="n"/>
      <c r="AC441" s="53" t="n"/>
      <c r="AD441" s="53" t="n"/>
      <c r="AE441" s="53" t="n"/>
      <c r="AF441" s="53" t="n"/>
      <c r="AG441" s="53" t="n"/>
      <c r="AH441" s="53" t="n"/>
    </row>
    <row r="442" ht="15.75" customHeight="1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  <c r="AA442" s="53" t="n"/>
      <c r="AB442" s="53" t="n"/>
      <c r="AC442" s="53" t="n"/>
      <c r="AD442" s="53" t="n"/>
      <c r="AE442" s="53" t="n"/>
      <c r="AF442" s="53" t="n"/>
      <c r="AG442" s="53" t="n"/>
      <c r="AH442" s="53" t="n"/>
    </row>
    <row r="443" ht="15.75" customHeight="1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  <c r="AA443" s="53" t="n"/>
      <c r="AB443" s="53" t="n"/>
      <c r="AC443" s="53" t="n"/>
      <c r="AD443" s="53" t="n"/>
      <c r="AE443" s="53" t="n"/>
      <c r="AF443" s="53" t="n"/>
      <c r="AG443" s="53" t="n"/>
      <c r="AH443" s="53" t="n"/>
    </row>
    <row r="444" ht="15.75" customHeight="1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  <c r="AA444" s="53" t="n"/>
      <c r="AB444" s="53" t="n"/>
      <c r="AC444" s="53" t="n"/>
      <c r="AD444" s="53" t="n"/>
      <c r="AE444" s="53" t="n"/>
      <c r="AF444" s="53" t="n"/>
      <c r="AG444" s="53" t="n"/>
      <c r="AH444" s="53" t="n"/>
    </row>
    <row r="445" ht="15.75" customHeight="1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  <c r="AA445" s="53" t="n"/>
      <c r="AB445" s="53" t="n"/>
      <c r="AC445" s="53" t="n"/>
      <c r="AD445" s="53" t="n"/>
      <c r="AE445" s="53" t="n"/>
      <c r="AF445" s="53" t="n"/>
      <c r="AG445" s="53" t="n"/>
      <c r="AH445" s="53" t="n"/>
    </row>
    <row r="446" ht="15.75" customHeight="1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  <c r="AA446" s="53" t="n"/>
      <c r="AB446" s="53" t="n"/>
      <c r="AC446" s="53" t="n"/>
      <c r="AD446" s="53" t="n"/>
      <c r="AE446" s="53" t="n"/>
      <c r="AF446" s="53" t="n"/>
      <c r="AG446" s="53" t="n"/>
      <c r="AH446" s="53" t="n"/>
    </row>
    <row r="447" ht="15.75" customHeight="1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  <c r="AA447" s="53" t="n"/>
      <c r="AB447" s="53" t="n"/>
      <c r="AC447" s="53" t="n"/>
      <c r="AD447" s="53" t="n"/>
      <c r="AE447" s="53" t="n"/>
      <c r="AF447" s="53" t="n"/>
      <c r="AG447" s="53" t="n"/>
      <c r="AH447" s="53" t="n"/>
    </row>
    <row r="448" ht="15.75" customHeight="1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  <c r="AA448" s="53" t="n"/>
      <c r="AB448" s="53" t="n"/>
      <c r="AC448" s="53" t="n"/>
      <c r="AD448" s="53" t="n"/>
      <c r="AE448" s="53" t="n"/>
      <c r="AF448" s="53" t="n"/>
      <c r="AG448" s="53" t="n"/>
      <c r="AH448" s="53" t="n"/>
    </row>
    <row r="449" ht="15.75" customHeight="1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  <c r="AA449" s="53" t="n"/>
      <c r="AB449" s="53" t="n"/>
      <c r="AC449" s="53" t="n"/>
      <c r="AD449" s="53" t="n"/>
      <c r="AE449" s="53" t="n"/>
      <c r="AF449" s="53" t="n"/>
      <c r="AG449" s="53" t="n"/>
      <c r="AH449" s="53" t="n"/>
    </row>
    <row r="450" ht="15.75" customHeight="1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  <c r="AA450" s="53" t="n"/>
      <c r="AB450" s="53" t="n"/>
      <c r="AC450" s="53" t="n"/>
      <c r="AD450" s="53" t="n"/>
      <c r="AE450" s="53" t="n"/>
      <c r="AF450" s="53" t="n"/>
      <c r="AG450" s="53" t="n"/>
      <c r="AH450" s="53" t="n"/>
    </row>
    <row r="451" ht="15.75" customHeight="1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  <c r="AA451" s="53" t="n"/>
      <c r="AB451" s="53" t="n"/>
      <c r="AC451" s="53" t="n"/>
      <c r="AD451" s="53" t="n"/>
      <c r="AE451" s="53" t="n"/>
      <c r="AF451" s="53" t="n"/>
      <c r="AG451" s="53" t="n"/>
      <c r="AH451" s="53" t="n"/>
    </row>
    <row r="452" ht="15.75" customHeight="1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  <c r="AA452" s="53" t="n"/>
      <c r="AB452" s="53" t="n"/>
      <c r="AC452" s="53" t="n"/>
      <c r="AD452" s="53" t="n"/>
      <c r="AE452" s="53" t="n"/>
      <c r="AF452" s="53" t="n"/>
      <c r="AG452" s="53" t="n"/>
      <c r="AH452" s="53" t="n"/>
    </row>
    <row r="453" ht="15.75" customHeight="1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  <c r="AA453" s="53" t="n"/>
      <c r="AB453" s="53" t="n"/>
      <c r="AC453" s="53" t="n"/>
      <c r="AD453" s="53" t="n"/>
      <c r="AE453" s="53" t="n"/>
      <c r="AF453" s="53" t="n"/>
      <c r="AG453" s="53" t="n"/>
      <c r="AH453" s="53" t="n"/>
    </row>
    <row r="454" ht="15.75" customHeight="1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  <c r="AA454" s="53" t="n"/>
      <c r="AB454" s="53" t="n"/>
      <c r="AC454" s="53" t="n"/>
      <c r="AD454" s="53" t="n"/>
      <c r="AE454" s="53" t="n"/>
      <c r="AF454" s="53" t="n"/>
      <c r="AG454" s="53" t="n"/>
      <c r="AH454" s="53" t="n"/>
    </row>
    <row r="455" ht="15.75" customHeight="1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  <c r="AA455" s="53" t="n"/>
      <c r="AB455" s="53" t="n"/>
      <c r="AC455" s="53" t="n"/>
      <c r="AD455" s="53" t="n"/>
      <c r="AE455" s="53" t="n"/>
      <c r="AF455" s="53" t="n"/>
      <c r="AG455" s="53" t="n"/>
      <c r="AH455" s="53" t="n"/>
    </row>
    <row r="456" ht="15.75" customHeight="1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  <c r="AA456" s="53" t="n"/>
      <c r="AB456" s="53" t="n"/>
      <c r="AC456" s="53" t="n"/>
      <c r="AD456" s="53" t="n"/>
      <c r="AE456" s="53" t="n"/>
      <c r="AF456" s="53" t="n"/>
      <c r="AG456" s="53" t="n"/>
      <c r="AH456" s="53" t="n"/>
    </row>
    <row r="457" ht="15.75" customHeight="1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  <c r="AA457" s="53" t="n"/>
      <c r="AB457" s="53" t="n"/>
      <c r="AC457" s="53" t="n"/>
      <c r="AD457" s="53" t="n"/>
      <c r="AE457" s="53" t="n"/>
      <c r="AF457" s="53" t="n"/>
      <c r="AG457" s="53" t="n"/>
      <c r="AH457" s="53" t="n"/>
    </row>
    <row r="458" ht="15.75" customHeight="1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  <c r="AA458" s="53" t="n"/>
      <c r="AB458" s="53" t="n"/>
      <c r="AC458" s="53" t="n"/>
      <c r="AD458" s="53" t="n"/>
      <c r="AE458" s="53" t="n"/>
      <c r="AF458" s="53" t="n"/>
      <c r="AG458" s="53" t="n"/>
      <c r="AH458" s="53" t="n"/>
    </row>
    <row r="459" ht="15.75" customHeight="1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  <c r="AA459" s="53" t="n"/>
      <c r="AB459" s="53" t="n"/>
      <c r="AC459" s="53" t="n"/>
      <c r="AD459" s="53" t="n"/>
      <c r="AE459" s="53" t="n"/>
      <c r="AF459" s="53" t="n"/>
      <c r="AG459" s="53" t="n"/>
      <c r="AH459" s="53" t="n"/>
    </row>
    <row r="460" ht="15.75" customHeight="1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  <c r="AA460" s="53" t="n"/>
      <c r="AB460" s="53" t="n"/>
      <c r="AC460" s="53" t="n"/>
      <c r="AD460" s="53" t="n"/>
      <c r="AE460" s="53" t="n"/>
      <c r="AF460" s="53" t="n"/>
      <c r="AG460" s="53" t="n"/>
      <c r="AH460" s="53" t="n"/>
    </row>
    <row r="461" ht="15.75" customHeight="1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  <c r="AA461" s="53" t="n"/>
      <c r="AB461" s="53" t="n"/>
      <c r="AC461" s="53" t="n"/>
      <c r="AD461" s="53" t="n"/>
      <c r="AE461" s="53" t="n"/>
      <c r="AF461" s="53" t="n"/>
      <c r="AG461" s="53" t="n"/>
      <c r="AH461" s="53" t="n"/>
    </row>
    <row r="462" ht="15.75" customHeight="1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  <c r="AA462" s="53" t="n"/>
      <c r="AB462" s="53" t="n"/>
      <c r="AC462" s="53" t="n"/>
      <c r="AD462" s="53" t="n"/>
      <c r="AE462" s="53" t="n"/>
      <c r="AF462" s="53" t="n"/>
      <c r="AG462" s="53" t="n"/>
      <c r="AH462" s="53" t="n"/>
    </row>
    <row r="463" ht="15.75" customHeight="1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  <c r="AA463" s="53" t="n"/>
      <c r="AB463" s="53" t="n"/>
      <c r="AC463" s="53" t="n"/>
      <c r="AD463" s="53" t="n"/>
      <c r="AE463" s="53" t="n"/>
      <c r="AF463" s="53" t="n"/>
      <c r="AG463" s="53" t="n"/>
      <c r="AH463" s="53" t="n"/>
    </row>
    <row r="464" ht="15.75" customHeight="1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  <c r="AA464" s="53" t="n"/>
      <c r="AB464" s="53" t="n"/>
      <c r="AC464" s="53" t="n"/>
      <c r="AD464" s="53" t="n"/>
      <c r="AE464" s="53" t="n"/>
      <c r="AF464" s="53" t="n"/>
      <c r="AG464" s="53" t="n"/>
      <c r="AH464" s="53" t="n"/>
    </row>
    <row r="465" ht="15.75" customHeight="1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  <c r="AA465" s="53" t="n"/>
      <c r="AB465" s="53" t="n"/>
      <c r="AC465" s="53" t="n"/>
      <c r="AD465" s="53" t="n"/>
      <c r="AE465" s="53" t="n"/>
      <c r="AF465" s="53" t="n"/>
      <c r="AG465" s="53" t="n"/>
      <c r="AH465" s="53" t="n"/>
    </row>
    <row r="466" ht="15.75" customHeight="1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  <c r="AA466" s="53" t="n"/>
      <c r="AB466" s="53" t="n"/>
      <c r="AC466" s="53" t="n"/>
      <c r="AD466" s="53" t="n"/>
      <c r="AE466" s="53" t="n"/>
      <c r="AF466" s="53" t="n"/>
      <c r="AG466" s="53" t="n"/>
      <c r="AH466" s="53" t="n"/>
    </row>
    <row r="467" ht="15.75" customHeight="1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  <c r="AA467" s="53" t="n"/>
      <c r="AB467" s="53" t="n"/>
      <c r="AC467" s="53" t="n"/>
      <c r="AD467" s="53" t="n"/>
      <c r="AE467" s="53" t="n"/>
      <c r="AF467" s="53" t="n"/>
      <c r="AG467" s="53" t="n"/>
      <c r="AH467" s="53" t="n"/>
    </row>
    <row r="468" ht="15.75" customHeight="1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  <c r="AA468" s="53" t="n"/>
      <c r="AB468" s="53" t="n"/>
      <c r="AC468" s="53" t="n"/>
      <c r="AD468" s="53" t="n"/>
      <c r="AE468" s="53" t="n"/>
      <c r="AF468" s="53" t="n"/>
      <c r="AG468" s="53" t="n"/>
      <c r="AH468" s="53" t="n"/>
    </row>
    <row r="469" ht="15.75" customHeight="1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  <c r="AA469" s="53" t="n"/>
      <c r="AB469" s="53" t="n"/>
      <c r="AC469" s="53" t="n"/>
      <c r="AD469" s="53" t="n"/>
      <c r="AE469" s="53" t="n"/>
      <c r="AF469" s="53" t="n"/>
      <c r="AG469" s="53" t="n"/>
      <c r="AH469" s="53" t="n"/>
    </row>
    <row r="470" ht="15.75" customHeight="1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  <c r="AA470" s="53" t="n"/>
      <c r="AB470" s="53" t="n"/>
      <c r="AC470" s="53" t="n"/>
      <c r="AD470" s="53" t="n"/>
      <c r="AE470" s="53" t="n"/>
      <c r="AF470" s="53" t="n"/>
      <c r="AG470" s="53" t="n"/>
      <c r="AH470" s="53" t="n"/>
    </row>
    <row r="471" ht="15.75" customHeight="1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  <c r="AA471" s="53" t="n"/>
      <c r="AB471" s="53" t="n"/>
      <c r="AC471" s="53" t="n"/>
      <c r="AD471" s="53" t="n"/>
      <c r="AE471" s="53" t="n"/>
      <c r="AF471" s="53" t="n"/>
      <c r="AG471" s="53" t="n"/>
      <c r="AH471" s="53" t="n"/>
    </row>
    <row r="472" ht="15.75" customHeight="1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  <c r="AA472" s="53" t="n"/>
      <c r="AB472" s="53" t="n"/>
      <c r="AC472" s="53" t="n"/>
      <c r="AD472" s="53" t="n"/>
      <c r="AE472" s="53" t="n"/>
      <c r="AF472" s="53" t="n"/>
      <c r="AG472" s="53" t="n"/>
      <c r="AH472" s="53" t="n"/>
    </row>
    <row r="473" ht="15.75" customHeight="1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  <c r="AA473" s="53" t="n"/>
      <c r="AB473" s="53" t="n"/>
      <c r="AC473" s="53" t="n"/>
      <c r="AD473" s="53" t="n"/>
      <c r="AE473" s="53" t="n"/>
      <c r="AF473" s="53" t="n"/>
      <c r="AG473" s="53" t="n"/>
      <c r="AH473" s="53" t="n"/>
    </row>
    <row r="474" ht="15.75" customHeight="1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  <c r="AA474" s="53" t="n"/>
      <c r="AB474" s="53" t="n"/>
      <c r="AC474" s="53" t="n"/>
      <c r="AD474" s="53" t="n"/>
      <c r="AE474" s="53" t="n"/>
      <c r="AF474" s="53" t="n"/>
      <c r="AG474" s="53" t="n"/>
      <c r="AH474" s="53" t="n"/>
    </row>
    <row r="475" ht="15.75" customHeight="1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  <c r="AA475" s="53" t="n"/>
      <c r="AB475" s="53" t="n"/>
      <c r="AC475" s="53" t="n"/>
      <c r="AD475" s="53" t="n"/>
      <c r="AE475" s="53" t="n"/>
      <c r="AF475" s="53" t="n"/>
      <c r="AG475" s="53" t="n"/>
      <c r="AH475" s="53" t="n"/>
    </row>
    <row r="476" ht="15.75" customHeight="1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  <c r="AA476" s="53" t="n"/>
      <c r="AB476" s="53" t="n"/>
      <c r="AC476" s="53" t="n"/>
      <c r="AD476" s="53" t="n"/>
      <c r="AE476" s="53" t="n"/>
      <c r="AF476" s="53" t="n"/>
      <c r="AG476" s="53" t="n"/>
      <c r="AH476" s="53" t="n"/>
    </row>
    <row r="477" ht="15.75" customHeight="1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  <c r="AA477" s="53" t="n"/>
      <c r="AB477" s="53" t="n"/>
      <c r="AC477" s="53" t="n"/>
      <c r="AD477" s="53" t="n"/>
      <c r="AE477" s="53" t="n"/>
      <c r="AF477" s="53" t="n"/>
      <c r="AG477" s="53" t="n"/>
      <c r="AH477" s="53" t="n"/>
    </row>
    <row r="478" ht="15.75" customHeight="1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  <c r="AA478" s="53" t="n"/>
      <c r="AB478" s="53" t="n"/>
      <c r="AC478" s="53" t="n"/>
      <c r="AD478" s="53" t="n"/>
      <c r="AE478" s="53" t="n"/>
      <c r="AF478" s="53" t="n"/>
      <c r="AG478" s="53" t="n"/>
      <c r="AH478" s="53" t="n"/>
    </row>
    <row r="479" ht="15.75" customHeight="1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  <c r="AA479" s="53" t="n"/>
      <c r="AB479" s="53" t="n"/>
      <c r="AC479" s="53" t="n"/>
      <c r="AD479" s="53" t="n"/>
      <c r="AE479" s="53" t="n"/>
      <c r="AF479" s="53" t="n"/>
      <c r="AG479" s="53" t="n"/>
      <c r="AH479" s="53" t="n"/>
    </row>
    <row r="480" ht="15.75" customHeight="1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  <c r="AA480" s="53" t="n"/>
      <c r="AB480" s="53" t="n"/>
      <c r="AC480" s="53" t="n"/>
      <c r="AD480" s="53" t="n"/>
      <c r="AE480" s="53" t="n"/>
      <c r="AF480" s="53" t="n"/>
      <c r="AG480" s="53" t="n"/>
      <c r="AH480" s="53" t="n"/>
    </row>
    <row r="481" ht="15.75" customHeight="1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  <c r="AA481" s="53" t="n"/>
      <c r="AB481" s="53" t="n"/>
      <c r="AC481" s="53" t="n"/>
      <c r="AD481" s="53" t="n"/>
      <c r="AE481" s="53" t="n"/>
      <c r="AF481" s="53" t="n"/>
      <c r="AG481" s="53" t="n"/>
      <c r="AH481" s="53" t="n"/>
    </row>
    <row r="482" ht="15.75" customHeight="1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  <c r="AA482" s="53" t="n"/>
      <c r="AB482" s="53" t="n"/>
      <c r="AC482" s="53" t="n"/>
      <c r="AD482" s="53" t="n"/>
      <c r="AE482" s="53" t="n"/>
      <c r="AF482" s="53" t="n"/>
      <c r="AG482" s="53" t="n"/>
      <c r="AH482" s="53" t="n"/>
    </row>
    <row r="483" ht="15.75" customHeight="1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  <c r="AA483" s="53" t="n"/>
      <c r="AB483" s="53" t="n"/>
      <c r="AC483" s="53" t="n"/>
      <c r="AD483" s="53" t="n"/>
      <c r="AE483" s="53" t="n"/>
      <c r="AF483" s="53" t="n"/>
      <c r="AG483" s="53" t="n"/>
      <c r="AH483" s="53" t="n"/>
    </row>
    <row r="484" ht="15.75" customHeight="1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  <c r="AA484" s="53" t="n"/>
      <c r="AB484" s="53" t="n"/>
      <c r="AC484" s="53" t="n"/>
      <c r="AD484" s="53" t="n"/>
      <c r="AE484" s="53" t="n"/>
      <c r="AF484" s="53" t="n"/>
      <c r="AG484" s="53" t="n"/>
      <c r="AH484" s="53" t="n"/>
    </row>
    <row r="485" ht="15.75" customHeight="1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  <c r="AA485" s="53" t="n"/>
      <c r="AB485" s="53" t="n"/>
      <c r="AC485" s="53" t="n"/>
      <c r="AD485" s="53" t="n"/>
      <c r="AE485" s="53" t="n"/>
      <c r="AF485" s="53" t="n"/>
      <c r="AG485" s="53" t="n"/>
      <c r="AH485" s="53" t="n"/>
    </row>
    <row r="486" ht="15.75" customHeight="1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  <c r="AA486" s="53" t="n"/>
      <c r="AB486" s="53" t="n"/>
      <c r="AC486" s="53" t="n"/>
      <c r="AD486" s="53" t="n"/>
      <c r="AE486" s="53" t="n"/>
      <c r="AF486" s="53" t="n"/>
      <c r="AG486" s="53" t="n"/>
      <c r="AH486" s="53" t="n"/>
    </row>
    <row r="487" ht="15.75" customHeight="1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  <c r="AA487" s="53" t="n"/>
      <c r="AB487" s="53" t="n"/>
      <c r="AC487" s="53" t="n"/>
      <c r="AD487" s="53" t="n"/>
      <c r="AE487" s="53" t="n"/>
      <c r="AF487" s="53" t="n"/>
      <c r="AG487" s="53" t="n"/>
      <c r="AH487" s="53" t="n"/>
    </row>
    <row r="488" ht="15.75" customHeight="1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  <c r="AA488" s="53" t="n"/>
      <c r="AB488" s="53" t="n"/>
      <c r="AC488" s="53" t="n"/>
      <c r="AD488" s="53" t="n"/>
      <c r="AE488" s="53" t="n"/>
      <c r="AF488" s="53" t="n"/>
      <c r="AG488" s="53" t="n"/>
      <c r="AH488" s="53" t="n"/>
    </row>
    <row r="489" ht="15.75" customHeight="1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  <c r="AA489" s="53" t="n"/>
      <c r="AB489" s="53" t="n"/>
      <c r="AC489" s="53" t="n"/>
      <c r="AD489" s="53" t="n"/>
      <c r="AE489" s="53" t="n"/>
      <c r="AF489" s="53" t="n"/>
      <c r="AG489" s="53" t="n"/>
      <c r="AH489" s="53" t="n"/>
    </row>
    <row r="490" ht="15.75" customHeight="1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  <c r="AA490" s="53" t="n"/>
      <c r="AB490" s="53" t="n"/>
      <c r="AC490" s="53" t="n"/>
      <c r="AD490" s="53" t="n"/>
      <c r="AE490" s="53" t="n"/>
      <c r="AF490" s="53" t="n"/>
      <c r="AG490" s="53" t="n"/>
      <c r="AH490" s="53" t="n"/>
    </row>
    <row r="491" ht="15.75" customHeight="1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  <c r="AA491" s="53" t="n"/>
      <c r="AB491" s="53" t="n"/>
      <c r="AC491" s="53" t="n"/>
      <c r="AD491" s="53" t="n"/>
      <c r="AE491" s="53" t="n"/>
      <c r="AF491" s="53" t="n"/>
      <c r="AG491" s="53" t="n"/>
      <c r="AH491" s="53" t="n"/>
    </row>
    <row r="492" ht="15.75" customHeight="1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  <c r="AA492" s="53" t="n"/>
      <c r="AB492" s="53" t="n"/>
      <c r="AC492" s="53" t="n"/>
      <c r="AD492" s="53" t="n"/>
      <c r="AE492" s="53" t="n"/>
      <c r="AF492" s="53" t="n"/>
      <c r="AG492" s="53" t="n"/>
      <c r="AH492" s="53" t="n"/>
    </row>
    <row r="493" ht="15.75" customHeight="1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  <c r="AA493" s="53" t="n"/>
      <c r="AB493" s="53" t="n"/>
      <c r="AC493" s="53" t="n"/>
      <c r="AD493" s="53" t="n"/>
      <c r="AE493" s="53" t="n"/>
      <c r="AF493" s="53" t="n"/>
      <c r="AG493" s="53" t="n"/>
      <c r="AH493" s="53" t="n"/>
    </row>
    <row r="494" ht="15.75" customHeight="1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  <c r="AA494" s="53" t="n"/>
      <c r="AB494" s="53" t="n"/>
      <c r="AC494" s="53" t="n"/>
      <c r="AD494" s="53" t="n"/>
      <c r="AE494" s="53" t="n"/>
      <c r="AF494" s="53" t="n"/>
      <c r="AG494" s="53" t="n"/>
      <c r="AH494" s="53" t="n"/>
    </row>
    <row r="495" ht="15.75" customHeight="1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  <c r="AA495" s="53" t="n"/>
      <c r="AB495" s="53" t="n"/>
      <c r="AC495" s="53" t="n"/>
      <c r="AD495" s="53" t="n"/>
      <c r="AE495" s="53" t="n"/>
      <c r="AF495" s="53" t="n"/>
      <c r="AG495" s="53" t="n"/>
      <c r="AH495" s="53" t="n"/>
    </row>
    <row r="496" ht="15.75" customHeight="1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  <c r="AA496" s="53" t="n"/>
      <c r="AB496" s="53" t="n"/>
      <c r="AC496" s="53" t="n"/>
      <c r="AD496" s="53" t="n"/>
      <c r="AE496" s="53" t="n"/>
      <c r="AF496" s="53" t="n"/>
      <c r="AG496" s="53" t="n"/>
      <c r="AH496" s="53" t="n"/>
    </row>
    <row r="497" ht="15.75" customHeight="1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  <c r="AA497" s="53" t="n"/>
      <c r="AB497" s="53" t="n"/>
      <c r="AC497" s="53" t="n"/>
      <c r="AD497" s="53" t="n"/>
      <c r="AE497" s="53" t="n"/>
      <c r="AF497" s="53" t="n"/>
      <c r="AG497" s="53" t="n"/>
      <c r="AH497" s="53" t="n"/>
    </row>
    <row r="498" ht="15.75" customHeight="1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  <c r="AA498" s="53" t="n"/>
      <c r="AB498" s="53" t="n"/>
      <c r="AC498" s="53" t="n"/>
      <c r="AD498" s="53" t="n"/>
      <c r="AE498" s="53" t="n"/>
      <c r="AF498" s="53" t="n"/>
      <c r="AG498" s="53" t="n"/>
      <c r="AH498" s="53" t="n"/>
    </row>
    <row r="499" ht="15.75" customHeight="1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  <c r="AA499" s="53" t="n"/>
      <c r="AB499" s="53" t="n"/>
      <c r="AC499" s="53" t="n"/>
      <c r="AD499" s="53" t="n"/>
      <c r="AE499" s="53" t="n"/>
      <c r="AF499" s="53" t="n"/>
      <c r="AG499" s="53" t="n"/>
      <c r="AH499" s="53" t="n"/>
    </row>
    <row r="500" ht="15.75" customHeight="1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  <c r="AA500" s="53" t="n"/>
      <c r="AB500" s="53" t="n"/>
      <c r="AC500" s="53" t="n"/>
      <c r="AD500" s="53" t="n"/>
      <c r="AE500" s="53" t="n"/>
      <c r="AF500" s="53" t="n"/>
      <c r="AG500" s="53" t="n"/>
      <c r="AH500" s="53" t="n"/>
    </row>
    <row r="501" ht="15.75" customHeight="1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  <c r="AA501" s="53" t="n"/>
      <c r="AB501" s="53" t="n"/>
      <c r="AC501" s="53" t="n"/>
      <c r="AD501" s="53" t="n"/>
      <c r="AE501" s="53" t="n"/>
      <c r="AF501" s="53" t="n"/>
      <c r="AG501" s="53" t="n"/>
      <c r="AH501" s="53" t="n"/>
    </row>
    <row r="502" ht="15.75" customHeight="1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  <c r="AA502" s="53" t="n"/>
      <c r="AB502" s="53" t="n"/>
      <c r="AC502" s="53" t="n"/>
      <c r="AD502" s="53" t="n"/>
      <c r="AE502" s="53" t="n"/>
      <c r="AF502" s="53" t="n"/>
      <c r="AG502" s="53" t="n"/>
      <c r="AH502" s="53" t="n"/>
    </row>
    <row r="503" ht="15.75" customHeight="1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  <c r="AA503" s="53" t="n"/>
      <c r="AB503" s="53" t="n"/>
      <c r="AC503" s="53" t="n"/>
      <c r="AD503" s="53" t="n"/>
      <c r="AE503" s="53" t="n"/>
      <c r="AF503" s="53" t="n"/>
      <c r="AG503" s="53" t="n"/>
      <c r="AH503" s="53" t="n"/>
    </row>
    <row r="504" ht="15.75" customHeight="1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  <c r="AA504" s="53" t="n"/>
      <c r="AB504" s="53" t="n"/>
      <c r="AC504" s="53" t="n"/>
      <c r="AD504" s="53" t="n"/>
      <c r="AE504" s="53" t="n"/>
      <c r="AF504" s="53" t="n"/>
      <c r="AG504" s="53" t="n"/>
      <c r="AH504" s="53" t="n"/>
    </row>
    <row r="505" ht="15.75" customHeight="1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  <c r="AA505" s="53" t="n"/>
      <c r="AB505" s="53" t="n"/>
      <c r="AC505" s="53" t="n"/>
      <c r="AD505" s="53" t="n"/>
      <c r="AE505" s="53" t="n"/>
      <c r="AF505" s="53" t="n"/>
      <c r="AG505" s="53" t="n"/>
      <c r="AH505" s="53" t="n"/>
    </row>
    <row r="506" ht="15.75" customHeight="1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  <c r="AA506" s="53" t="n"/>
      <c r="AB506" s="53" t="n"/>
      <c r="AC506" s="53" t="n"/>
      <c r="AD506" s="53" t="n"/>
      <c r="AE506" s="53" t="n"/>
      <c r="AF506" s="53" t="n"/>
      <c r="AG506" s="53" t="n"/>
      <c r="AH506" s="53" t="n"/>
    </row>
    <row r="507" ht="15.75" customHeight="1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  <c r="AA507" s="53" t="n"/>
      <c r="AB507" s="53" t="n"/>
      <c r="AC507" s="53" t="n"/>
      <c r="AD507" s="53" t="n"/>
      <c r="AE507" s="53" t="n"/>
      <c r="AF507" s="53" t="n"/>
      <c r="AG507" s="53" t="n"/>
      <c r="AH507" s="53" t="n"/>
    </row>
    <row r="508" ht="15.75" customHeight="1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  <c r="AA508" s="53" t="n"/>
      <c r="AB508" s="53" t="n"/>
      <c r="AC508" s="53" t="n"/>
      <c r="AD508" s="53" t="n"/>
      <c r="AE508" s="53" t="n"/>
      <c r="AF508" s="53" t="n"/>
      <c r="AG508" s="53" t="n"/>
      <c r="AH508" s="53" t="n"/>
    </row>
    <row r="509" ht="15.75" customHeight="1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  <c r="AA509" s="53" t="n"/>
      <c r="AB509" s="53" t="n"/>
      <c r="AC509" s="53" t="n"/>
      <c r="AD509" s="53" t="n"/>
      <c r="AE509" s="53" t="n"/>
      <c r="AF509" s="53" t="n"/>
      <c r="AG509" s="53" t="n"/>
      <c r="AH509" s="53" t="n"/>
    </row>
    <row r="510" ht="15.75" customHeight="1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  <c r="AA510" s="53" t="n"/>
      <c r="AB510" s="53" t="n"/>
      <c r="AC510" s="53" t="n"/>
      <c r="AD510" s="53" t="n"/>
      <c r="AE510" s="53" t="n"/>
      <c r="AF510" s="53" t="n"/>
      <c r="AG510" s="53" t="n"/>
      <c r="AH510" s="53" t="n"/>
    </row>
    <row r="511" ht="15.75" customHeight="1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  <c r="AA511" s="53" t="n"/>
      <c r="AB511" s="53" t="n"/>
      <c r="AC511" s="53" t="n"/>
      <c r="AD511" s="53" t="n"/>
      <c r="AE511" s="53" t="n"/>
      <c r="AF511" s="53" t="n"/>
      <c r="AG511" s="53" t="n"/>
      <c r="AH511" s="53" t="n"/>
    </row>
    <row r="512" ht="15.75" customHeight="1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  <c r="AA512" s="53" t="n"/>
      <c r="AB512" s="53" t="n"/>
      <c r="AC512" s="53" t="n"/>
      <c r="AD512" s="53" t="n"/>
      <c r="AE512" s="53" t="n"/>
      <c r="AF512" s="53" t="n"/>
      <c r="AG512" s="53" t="n"/>
      <c r="AH512" s="53" t="n"/>
    </row>
    <row r="513" ht="15.75" customHeight="1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  <c r="AA513" s="53" t="n"/>
      <c r="AB513" s="53" t="n"/>
      <c r="AC513" s="53" t="n"/>
      <c r="AD513" s="53" t="n"/>
      <c r="AE513" s="53" t="n"/>
      <c r="AF513" s="53" t="n"/>
      <c r="AG513" s="53" t="n"/>
      <c r="AH513" s="53" t="n"/>
    </row>
    <row r="514" ht="15.75" customHeight="1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  <c r="AA514" s="53" t="n"/>
      <c r="AB514" s="53" t="n"/>
      <c r="AC514" s="53" t="n"/>
      <c r="AD514" s="53" t="n"/>
      <c r="AE514" s="53" t="n"/>
      <c r="AF514" s="53" t="n"/>
      <c r="AG514" s="53" t="n"/>
      <c r="AH514" s="53" t="n"/>
    </row>
    <row r="515" ht="15.75" customHeight="1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  <c r="AA515" s="53" t="n"/>
      <c r="AB515" s="53" t="n"/>
      <c r="AC515" s="53" t="n"/>
      <c r="AD515" s="53" t="n"/>
      <c r="AE515" s="53" t="n"/>
      <c r="AF515" s="53" t="n"/>
      <c r="AG515" s="53" t="n"/>
      <c r="AH515" s="53" t="n"/>
    </row>
    <row r="516" ht="15.75" customHeight="1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  <c r="AA516" s="53" t="n"/>
      <c r="AB516" s="53" t="n"/>
      <c r="AC516" s="53" t="n"/>
      <c r="AD516" s="53" t="n"/>
      <c r="AE516" s="53" t="n"/>
      <c r="AF516" s="53" t="n"/>
      <c r="AG516" s="53" t="n"/>
      <c r="AH516" s="53" t="n"/>
    </row>
    <row r="517" ht="15.75" customHeight="1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  <c r="AA517" s="53" t="n"/>
      <c r="AB517" s="53" t="n"/>
      <c r="AC517" s="53" t="n"/>
      <c r="AD517" s="53" t="n"/>
      <c r="AE517" s="53" t="n"/>
      <c r="AF517" s="53" t="n"/>
      <c r="AG517" s="53" t="n"/>
      <c r="AH517" s="53" t="n"/>
    </row>
    <row r="518" ht="15.75" customHeight="1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  <c r="AA518" s="53" t="n"/>
      <c r="AB518" s="53" t="n"/>
      <c r="AC518" s="53" t="n"/>
      <c r="AD518" s="53" t="n"/>
      <c r="AE518" s="53" t="n"/>
      <c r="AF518" s="53" t="n"/>
      <c r="AG518" s="53" t="n"/>
      <c r="AH518" s="53" t="n"/>
    </row>
    <row r="519" ht="15.75" customHeight="1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  <c r="AA519" s="53" t="n"/>
      <c r="AB519" s="53" t="n"/>
      <c r="AC519" s="53" t="n"/>
      <c r="AD519" s="53" t="n"/>
      <c r="AE519" s="53" t="n"/>
      <c r="AF519" s="53" t="n"/>
      <c r="AG519" s="53" t="n"/>
      <c r="AH519" s="53" t="n"/>
    </row>
    <row r="520" ht="15.75" customHeight="1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  <c r="AA520" s="53" t="n"/>
      <c r="AB520" s="53" t="n"/>
      <c r="AC520" s="53" t="n"/>
      <c r="AD520" s="53" t="n"/>
      <c r="AE520" s="53" t="n"/>
      <c r="AF520" s="53" t="n"/>
      <c r="AG520" s="53" t="n"/>
      <c r="AH520" s="53" t="n"/>
    </row>
    <row r="521" ht="15.75" customHeight="1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  <c r="AA521" s="53" t="n"/>
      <c r="AB521" s="53" t="n"/>
      <c r="AC521" s="53" t="n"/>
      <c r="AD521" s="53" t="n"/>
      <c r="AE521" s="53" t="n"/>
      <c r="AF521" s="53" t="n"/>
      <c r="AG521" s="53" t="n"/>
      <c r="AH521" s="53" t="n"/>
    </row>
    <row r="522" ht="15.75" customHeight="1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  <c r="AA522" s="53" t="n"/>
      <c r="AB522" s="53" t="n"/>
      <c r="AC522" s="53" t="n"/>
      <c r="AD522" s="53" t="n"/>
      <c r="AE522" s="53" t="n"/>
      <c r="AF522" s="53" t="n"/>
      <c r="AG522" s="53" t="n"/>
      <c r="AH522" s="53" t="n"/>
    </row>
    <row r="523" ht="15.75" customHeight="1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  <c r="AA523" s="53" t="n"/>
      <c r="AB523" s="53" t="n"/>
      <c r="AC523" s="53" t="n"/>
      <c r="AD523" s="53" t="n"/>
      <c r="AE523" s="53" t="n"/>
      <c r="AF523" s="53" t="n"/>
      <c r="AG523" s="53" t="n"/>
      <c r="AH523" s="53" t="n"/>
    </row>
    <row r="524" ht="15.75" customHeight="1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  <c r="AA524" s="53" t="n"/>
      <c r="AB524" s="53" t="n"/>
      <c r="AC524" s="53" t="n"/>
      <c r="AD524" s="53" t="n"/>
      <c r="AE524" s="53" t="n"/>
      <c r="AF524" s="53" t="n"/>
      <c r="AG524" s="53" t="n"/>
      <c r="AH524" s="53" t="n"/>
    </row>
    <row r="525" ht="15.75" customHeight="1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  <c r="AA525" s="53" t="n"/>
      <c r="AB525" s="53" t="n"/>
      <c r="AC525" s="53" t="n"/>
      <c r="AD525" s="53" t="n"/>
      <c r="AE525" s="53" t="n"/>
      <c r="AF525" s="53" t="n"/>
      <c r="AG525" s="53" t="n"/>
      <c r="AH525" s="53" t="n"/>
    </row>
    <row r="526" ht="15.75" customHeight="1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  <c r="AA526" s="53" t="n"/>
      <c r="AB526" s="53" t="n"/>
      <c r="AC526" s="53" t="n"/>
      <c r="AD526" s="53" t="n"/>
      <c r="AE526" s="53" t="n"/>
      <c r="AF526" s="53" t="n"/>
      <c r="AG526" s="53" t="n"/>
      <c r="AH526" s="53" t="n"/>
    </row>
    <row r="527" ht="15.75" customHeight="1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  <c r="AA527" s="53" t="n"/>
      <c r="AB527" s="53" t="n"/>
      <c r="AC527" s="53" t="n"/>
      <c r="AD527" s="53" t="n"/>
      <c r="AE527" s="53" t="n"/>
      <c r="AF527" s="53" t="n"/>
      <c r="AG527" s="53" t="n"/>
      <c r="AH527" s="53" t="n"/>
    </row>
    <row r="528" ht="15.75" customHeight="1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  <c r="AA528" s="53" t="n"/>
      <c r="AB528" s="53" t="n"/>
      <c r="AC528" s="53" t="n"/>
      <c r="AD528" s="53" t="n"/>
      <c r="AE528" s="53" t="n"/>
      <c r="AF528" s="53" t="n"/>
      <c r="AG528" s="53" t="n"/>
      <c r="AH528" s="53" t="n"/>
    </row>
    <row r="529" ht="15.75" customHeight="1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  <c r="AA529" s="53" t="n"/>
      <c r="AB529" s="53" t="n"/>
      <c r="AC529" s="53" t="n"/>
      <c r="AD529" s="53" t="n"/>
      <c r="AE529" s="53" t="n"/>
      <c r="AF529" s="53" t="n"/>
      <c r="AG529" s="53" t="n"/>
      <c r="AH529" s="53" t="n"/>
    </row>
    <row r="530" ht="15.75" customHeight="1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  <c r="AA530" s="53" t="n"/>
      <c r="AB530" s="53" t="n"/>
      <c r="AC530" s="53" t="n"/>
      <c r="AD530" s="53" t="n"/>
      <c r="AE530" s="53" t="n"/>
      <c r="AF530" s="53" t="n"/>
      <c r="AG530" s="53" t="n"/>
      <c r="AH530" s="53" t="n"/>
    </row>
    <row r="531" ht="15.75" customHeight="1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  <c r="AA531" s="53" t="n"/>
      <c r="AB531" s="53" t="n"/>
      <c r="AC531" s="53" t="n"/>
      <c r="AD531" s="53" t="n"/>
      <c r="AE531" s="53" t="n"/>
      <c r="AF531" s="53" t="n"/>
      <c r="AG531" s="53" t="n"/>
      <c r="AH531" s="53" t="n"/>
    </row>
    <row r="532" ht="15.75" customHeight="1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  <c r="AA532" s="53" t="n"/>
      <c r="AB532" s="53" t="n"/>
      <c r="AC532" s="53" t="n"/>
      <c r="AD532" s="53" t="n"/>
      <c r="AE532" s="53" t="n"/>
      <c r="AF532" s="53" t="n"/>
      <c r="AG532" s="53" t="n"/>
      <c r="AH532" s="53" t="n"/>
    </row>
    <row r="533" ht="15.75" customHeight="1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  <c r="AA533" s="53" t="n"/>
      <c r="AB533" s="53" t="n"/>
      <c r="AC533" s="53" t="n"/>
      <c r="AD533" s="53" t="n"/>
      <c r="AE533" s="53" t="n"/>
      <c r="AF533" s="53" t="n"/>
      <c r="AG533" s="53" t="n"/>
      <c r="AH533" s="53" t="n"/>
    </row>
    <row r="534" ht="15.75" customHeight="1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  <c r="AA534" s="53" t="n"/>
      <c r="AB534" s="53" t="n"/>
      <c r="AC534" s="53" t="n"/>
      <c r="AD534" s="53" t="n"/>
      <c r="AE534" s="53" t="n"/>
      <c r="AF534" s="53" t="n"/>
      <c r="AG534" s="53" t="n"/>
      <c r="AH534" s="53" t="n"/>
    </row>
    <row r="535" ht="15.75" customHeight="1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  <c r="AA535" s="53" t="n"/>
      <c r="AB535" s="53" t="n"/>
      <c r="AC535" s="53" t="n"/>
      <c r="AD535" s="53" t="n"/>
      <c r="AE535" s="53" t="n"/>
      <c r="AF535" s="53" t="n"/>
      <c r="AG535" s="53" t="n"/>
      <c r="AH535" s="53" t="n"/>
    </row>
    <row r="536" ht="15.75" customHeight="1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  <c r="AA536" s="53" t="n"/>
      <c r="AB536" s="53" t="n"/>
      <c r="AC536" s="53" t="n"/>
      <c r="AD536" s="53" t="n"/>
      <c r="AE536" s="53" t="n"/>
      <c r="AF536" s="53" t="n"/>
      <c r="AG536" s="53" t="n"/>
      <c r="AH536" s="53" t="n"/>
    </row>
    <row r="537" ht="15.75" customHeight="1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  <c r="AA537" s="53" t="n"/>
      <c r="AB537" s="53" t="n"/>
      <c r="AC537" s="53" t="n"/>
      <c r="AD537" s="53" t="n"/>
      <c r="AE537" s="53" t="n"/>
      <c r="AF537" s="53" t="n"/>
      <c r="AG537" s="53" t="n"/>
      <c r="AH537" s="53" t="n"/>
    </row>
    <row r="538" ht="15.75" customHeight="1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  <c r="AA538" s="53" t="n"/>
      <c r="AB538" s="53" t="n"/>
      <c r="AC538" s="53" t="n"/>
      <c r="AD538" s="53" t="n"/>
      <c r="AE538" s="53" t="n"/>
      <c r="AF538" s="53" t="n"/>
      <c r="AG538" s="53" t="n"/>
      <c r="AH538" s="53" t="n"/>
    </row>
    <row r="539" ht="15.75" customHeight="1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  <c r="AA539" s="53" t="n"/>
      <c r="AB539" s="53" t="n"/>
      <c r="AC539" s="53" t="n"/>
      <c r="AD539" s="53" t="n"/>
      <c r="AE539" s="53" t="n"/>
      <c r="AF539" s="53" t="n"/>
      <c r="AG539" s="53" t="n"/>
      <c r="AH539" s="53" t="n"/>
    </row>
    <row r="540" ht="15.75" customHeight="1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  <c r="AA540" s="53" t="n"/>
      <c r="AB540" s="53" t="n"/>
      <c r="AC540" s="53" t="n"/>
      <c r="AD540" s="53" t="n"/>
      <c r="AE540" s="53" t="n"/>
      <c r="AF540" s="53" t="n"/>
      <c r="AG540" s="53" t="n"/>
      <c r="AH540" s="53" t="n"/>
    </row>
    <row r="541" ht="15.75" customHeight="1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  <c r="AA541" s="53" t="n"/>
      <c r="AB541" s="53" t="n"/>
      <c r="AC541" s="53" t="n"/>
      <c r="AD541" s="53" t="n"/>
      <c r="AE541" s="53" t="n"/>
      <c r="AF541" s="53" t="n"/>
      <c r="AG541" s="53" t="n"/>
      <c r="AH541" s="53" t="n"/>
    </row>
    <row r="542" ht="15.75" customHeight="1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  <c r="AA542" s="53" t="n"/>
      <c r="AB542" s="53" t="n"/>
      <c r="AC542" s="53" t="n"/>
      <c r="AD542" s="53" t="n"/>
      <c r="AE542" s="53" t="n"/>
      <c r="AF542" s="53" t="n"/>
      <c r="AG542" s="53" t="n"/>
      <c r="AH542" s="53" t="n"/>
    </row>
    <row r="543" ht="15.75" customHeight="1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  <c r="AA543" s="53" t="n"/>
      <c r="AB543" s="53" t="n"/>
      <c r="AC543" s="53" t="n"/>
      <c r="AD543" s="53" t="n"/>
      <c r="AE543" s="53" t="n"/>
      <c r="AF543" s="53" t="n"/>
      <c r="AG543" s="53" t="n"/>
      <c r="AH543" s="53" t="n"/>
    </row>
    <row r="544" ht="15.75" customHeight="1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  <c r="AA544" s="53" t="n"/>
      <c r="AB544" s="53" t="n"/>
      <c r="AC544" s="53" t="n"/>
      <c r="AD544" s="53" t="n"/>
      <c r="AE544" s="53" t="n"/>
      <c r="AF544" s="53" t="n"/>
      <c r="AG544" s="53" t="n"/>
      <c r="AH544" s="53" t="n"/>
    </row>
    <row r="545" ht="15.75" customHeight="1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  <c r="AA545" s="53" t="n"/>
      <c r="AB545" s="53" t="n"/>
      <c r="AC545" s="53" t="n"/>
      <c r="AD545" s="53" t="n"/>
      <c r="AE545" s="53" t="n"/>
      <c r="AF545" s="53" t="n"/>
      <c r="AG545" s="53" t="n"/>
      <c r="AH545" s="53" t="n"/>
    </row>
    <row r="546" ht="15.75" customHeight="1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  <c r="AA546" s="53" t="n"/>
      <c r="AB546" s="53" t="n"/>
      <c r="AC546" s="53" t="n"/>
      <c r="AD546" s="53" t="n"/>
      <c r="AE546" s="53" t="n"/>
      <c r="AF546" s="53" t="n"/>
      <c r="AG546" s="53" t="n"/>
      <c r="AH546" s="53" t="n"/>
    </row>
    <row r="547" ht="15.75" customHeight="1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  <c r="AA547" s="53" t="n"/>
      <c r="AB547" s="53" t="n"/>
      <c r="AC547" s="53" t="n"/>
      <c r="AD547" s="53" t="n"/>
      <c r="AE547" s="53" t="n"/>
      <c r="AF547" s="53" t="n"/>
      <c r="AG547" s="53" t="n"/>
      <c r="AH547" s="53" t="n"/>
    </row>
    <row r="548" ht="15.75" customHeight="1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  <c r="AA548" s="53" t="n"/>
      <c r="AB548" s="53" t="n"/>
      <c r="AC548" s="53" t="n"/>
      <c r="AD548" s="53" t="n"/>
      <c r="AE548" s="53" t="n"/>
      <c r="AF548" s="53" t="n"/>
      <c r="AG548" s="53" t="n"/>
      <c r="AH548" s="53" t="n"/>
    </row>
    <row r="549" ht="15.75" customHeight="1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  <c r="AA549" s="53" t="n"/>
      <c r="AB549" s="53" t="n"/>
      <c r="AC549" s="53" t="n"/>
      <c r="AD549" s="53" t="n"/>
      <c r="AE549" s="53" t="n"/>
      <c r="AF549" s="53" t="n"/>
      <c r="AG549" s="53" t="n"/>
      <c r="AH549" s="53" t="n"/>
    </row>
    <row r="550" ht="15.75" customHeight="1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  <c r="AA550" s="53" t="n"/>
      <c r="AB550" s="53" t="n"/>
      <c r="AC550" s="53" t="n"/>
      <c r="AD550" s="53" t="n"/>
      <c r="AE550" s="53" t="n"/>
      <c r="AF550" s="53" t="n"/>
      <c r="AG550" s="53" t="n"/>
      <c r="AH550" s="53" t="n"/>
    </row>
    <row r="551" ht="15.75" customHeight="1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  <c r="AA551" s="53" t="n"/>
      <c r="AB551" s="53" t="n"/>
      <c r="AC551" s="53" t="n"/>
      <c r="AD551" s="53" t="n"/>
      <c r="AE551" s="53" t="n"/>
      <c r="AF551" s="53" t="n"/>
      <c r="AG551" s="53" t="n"/>
      <c r="AH551" s="53" t="n"/>
    </row>
    <row r="552" ht="15.75" customHeight="1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  <c r="AA552" s="53" t="n"/>
      <c r="AB552" s="53" t="n"/>
      <c r="AC552" s="53" t="n"/>
      <c r="AD552" s="53" t="n"/>
      <c r="AE552" s="53" t="n"/>
      <c r="AF552" s="53" t="n"/>
      <c r="AG552" s="53" t="n"/>
      <c r="AH552" s="53" t="n"/>
    </row>
    <row r="553" ht="15.75" customHeight="1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  <c r="AA553" s="53" t="n"/>
      <c r="AB553" s="53" t="n"/>
      <c r="AC553" s="53" t="n"/>
      <c r="AD553" s="53" t="n"/>
      <c r="AE553" s="53" t="n"/>
      <c r="AF553" s="53" t="n"/>
      <c r="AG553" s="53" t="n"/>
      <c r="AH553" s="53" t="n"/>
    </row>
    <row r="554" ht="15.75" customHeight="1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  <c r="AA554" s="53" t="n"/>
      <c r="AB554" s="53" t="n"/>
      <c r="AC554" s="53" t="n"/>
      <c r="AD554" s="53" t="n"/>
      <c r="AE554" s="53" t="n"/>
      <c r="AF554" s="53" t="n"/>
      <c r="AG554" s="53" t="n"/>
      <c r="AH554" s="53" t="n"/>
    </row>
    <row r="555" ht="15.75" customHeight="1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  <c r="AA555" s="53" t="n"/>
      <c r="AB555" s="53" t="n"/>
      <c r="AC555" s="53" t="n"/>
      <c r="AD555" s="53" t="n"/>
      <c r="AE555" s="53" t="n"/>
      <c r="AF555" s="53" t="n"/>
      <c r="AG555" s="53" t="n"/>
      <c r="AH555" s="53" t="n"/>
    </row>
    <row r="556" ht="15.75" customHeight="1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  <c r="AA556" s="53" t="n"/>
      <c r="AB556" s="53" t="n"/>
      <c r="AC556" s="53" t="n"/>
      <c r="AD556" s="53" t="n"/>
      <c r="AE556" s="53" t="n"/>
      <c r="AF556" s="53" t="n"/>
      <c r="AG556" s="53" t="n"/>
      <c r="AH556" s="53" t="n"/>
    </row>
    <row r="557" ht="15.75" customHeight="1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  <c r="AA557" s="53" t="n"/>
      <c r="AB557" s="53" t="n"/>
      <c r="AC557" s="53" t="n"/>
      <c r="AD557" s="53" t="n"/>
      <c r="AE557" s="53" t="n"/>
      <c r="AF557" s="53" t="n"/>
      <c r="AG557" s="53" t="n"/>
      <c r="AH557" s="53" t="n"/>
    </row>
    <row r="558" ht="15.75" customHeight="1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  <c r="AA558" s="53" t="n"/>
      <c r="AB558" s="53" t="n"/>
      <c r="AC558" s="53" t="n"/>
      <c r="AD558" s="53" t="n"/>
      <c r="AE558" s="53" t="n"/>
      <c r="AF558" s="53" t="n"/>
      <c r="AG558" s="53" t="n"/>
      <c r="AH558" s="53" t="n"/>
    </row>
    <row r="559" ht="15.75" customHeight="1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  <c r="AA559" s="53" t="n"/>
      <c r="AB559" s="53" t="n"/>
      <c r="AC559" s="53" t="n"/>
      <c r="AD559" s="53" t="n"/>
      <c r="AE559" s="53" t="n"/>
      <c r="AF559" s="53" t="n"/>
      <c r="AG559" s="53" t="n"/>
      <c r="AH559" s="53" t="n"/>
    </row>
    <row r="560" ht="15.75" customHeight="1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  <c r="AA560" s="53" t="n"/>
      <c r="AB560" s="53" t="n"/>
      <c r="AC560" s="53" t="n"/>
      <c r="AD560" s="53" t="n"/>
      <c r="AE560" s="53" t="n"/>
      <c r="AF560" s="53" t="n"/>
      <c r="AG560" s="53" t="n"/>
      <c r="AH560" s="53" t="n"/>
    </row>
    <row r="561" ht="15.75" customHeight="1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  <c r="AA561" s="53" t="n"/>
      <c r="AB561" s="53" t="n"/>
      <c r="AC561" s="53" t="n"/>
      <c r="AD561" s="53" t="n"/>
      <c r="AE561" s="53" t="n"/>
      <c r="AF561" s="53" t="n"/>
      <c r="AG561" s="53" t="n"/>
      <c r="AH561" s="53" t="n"/>
    </row>
    <row r="562" ht="15.75" customHeight="1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  <c r="AA562" s="53" t="n"/>
      <c r="AB562" s="53" t="n"/>
      <c r="AC562" s="53" t="n"/>
      <c r="AD562" s="53" t="n"/>
      <c r="AE562" s="53" t="n"/>
      <c r="AF562" s="53" t="n"/>
      <c r="AG562" s="53" t="n"/>
      <c r="AH562" s="53" t="n"/>
    </row>
    <row r="563" ht="15.75" customHeight="1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  <c r="AA563" s="53" t="n"/>
      <c r="AB563" s="53" t="n"/>
      <c r="AC563" s="53" t="n"/>
      <c r="AD563" s="53" t="n"/>
      <c r="AE563" s="53" t="n"/>
      <c r="AF563" s="53" t="n"/>
      <c r="AG563" s="53" t="n"/>
      <c r="AH563" s="53" t="n"/>
    </row>
    <row r="564" ht="15.75" customHeight="1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  <c r="AA564" s="53" t="n"/>
      <c r="AB564" s="53" t="n"/>
      <c r="AC564" s="53" t="n"/>
      <c r="AD564" s="53" t="n"/>
      <c r="AE564" s="53" t="n"/>
      <c r="AF564" s="53" t="n"/>
      <c r="AG564" s="53" t="n"/>
      <c r="AH564" s="53" t="n"/>
    </row>
    <row r="565" ht="15.75" customHeight="1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  <c r="AA565" s="53" t="n"/>
      <c r="AB565" s="53" t="n"/>
      <c r="AC565" s="53" t="n"/>
      <c r="AD565" s="53" t="n"/>
      <c r="AE565" s="53" t="n"/>
      <c r="AF565" s="53" t="n"/>
      <c r="AG565" s="53" t="n"/>
      <c r="AH565" s="53" t="n"/>
    </row>
    <row r="566" ht="15.75" customHeight="1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  <c r="AA566" s="53" t="n"/>
      <c r="AB566" s="53" t="n"/>
      <c r="AC566" s="53" t="n"/>
      <c r="AD566" s="53" t="n"/>
      <c r="AE566" s="53" t="n"/>
      <c r="AF566" s="53" t="n"/>
      <c r="AG566" s="53" t="n"/>
      <c r="AH566" s="53" t="n"/>
    </row>
    <row r="567" ht="15.75" customHeight="1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  <c r="AA567" s="53" t="n"/>
      <c r="AB567" s="53" t="n"/>
      <c r="AC567" s="53" t="n"/>
      <c r="AD567" s="53" t="n"/>
      <c r="AE567" s="53" t="n"/>
      <c r="AF567" s="53" t="n"/>
      <c r="AG567" s="53" t="n"/>
      <c r="AH567" s="53" t="n"/>
    </row>
    <row r="568" ht="15.75" customHeight="1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  <c r="AA568" s="53" t="n"/>
      <c r="AB568" s="53" t="n"/>
      <c r="AC568" s="53" t="n"/>
      <c r="AD568" s="53" t="n"/>
      <c r="AE568" s="53" t="n"/>
      <c r="AF568" s="53" t="n"/>
      <c r="AG568" s="53" t="n"/>
      <c r="AH568" s="53" t="n"/>
    </row>
    <row r="569" ht="15.75" customHeight="1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  <c r="AA569" s="53" t="n"/>
      <c r="AB569" s="53" t="n"/>
      <c r="AC569" s="53" t="n"/>
      <c r="AD569" s="53" t="n"/>
      <c r="AE569" s="53" t="n"/>
      <c r="AF569" s="53" t="n"/>
      <c r="AG569" s="53" t="n"/>
      <c r="AH569" s="53" t="n"/>
    </row>
    <row r="570" ht="15.75" customHeight="1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  <c r="AA570" s="53" t="n"/>
      <c r="AB570" s="53" t="n"/>
      <c r="AC570" s="53" t="n"/>
      <c r="AD570" s="53" t="n"/>
      <c r="AE570" s="53" t="n"/>
      <c r="AF570" s="53" t="n"/>
      <c r="AG570" s="53" t="n"/>
      <c r="AH570" s="53" t="n"/>
    </row>
    <row r="571" ht="15.75" customHeight="1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  <c r="AA571" s="53" t="n"/>
      <c r="AB571" s="53" t="n"/>
      <c r="AC571" s="53" t="n"/>
      <c r="AD571" s="53" t="n"/>
      <c r="AE571" s="53" t="n"/>
      <c r="AF571" s="53" t="n"/>
      <c r="AG571" s="53" t="n"/>
      <c r="AH571" s="53" t="n"/>
    </row>
    <row r="572" ht="15.75" customHeight="1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  <c r="AA572" s="53" t="n"/>
      <c r="AB572" s="53" t="n"/>
      <c r="AC572" s="53" t="n"/>
      <c r="AD572" s="53" t="n"/>
      <c r="AE572" s="53" t="n"/>
      <c r="AF572" s="53" t="n"/>
      <c r="AG572" s="53" t="n"/>
      <c r="AH572" s="53" t="n"/>
    </row>
    <row r="573" ht="15.75" customHeight="1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  <c r="AA573" s="53" t="n"/>
      <c r="AB573" s="53" t="n"/>
      <c r="AC573" s="53" t="n"/>
      <c r="AD573" s="53" t="n"/>
      <c r="AE573" s="53" t="n"/>
      <c r="AF573" s="53" t="n"/>
      <c r="AG573" s="53" t="n"/>
      <c r="AH573" s="53" t="n"/>
    </row>
    <row r="574" ht="15.75" customHeight="1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  <c r="AA574" s="53" t="n"/>
      <c r="AB574" s="53" t="n"/>
      <c r="AC574" s="53" t="n"/>
      <c r="AD574" s="53" t="n"/>
      <c r="AE574" s="53" t="n"/>
      <c r="AF574" s="53" t="n"/>
      <c r="AG574" s="53" t="n"/>
      <c r="AH574" s="53" t="n"/>
    </row>
    <row r="575" ht="15.75" customHeight="1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  <c r="AA575" s="53" t="n"/>
      <c r="AB575" s="53" t="n"/>
      <c r="AC575" s="53" t="n"/>
      <c r="AD575" s="53" t="n"/>
      <c r="AE575" s="53" t="n"/>
      <c r="AF575" s="53" t="n"/>
      <c r="AG575" s="53" t="n"/>
      <c r="AH575" s="53" t="n"/>
    </row>
    <row r="576" ht="15.75" customHeight="1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  <c r="AA576" s="53" t="n"/>
      <c r="AB576" s="53" t="n"/>
      <c r="AC576" s="53" t="n"/>
      <c r="AD576" s="53" t="n"/>
      <c r="AE576" s="53" t="n"/>
      <c r="AF576" s="53" t="n"/>
      <c r="AG576" s="53" t="n"/>
      <c r="AH576" s="53" t="n"/>
    </row>
    <row r="577" ht="15.75" customHeight="1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  <c r="AA577" s="53" t="n"/>
      <c r="AB577" s="53" t="n"/>
      <c r="AC577" s="53" t="n"/>
      <c r="AD577" s="53" t="n"/>
      <c r="AE577" s="53" t="n"/>
      <c r="AF577" s="53" t="n"/>
      <c r="AG577" s="53" t="n"/>
      <c r="AH577" s="53" t="n"/>
    </row>
    <row r="578" ht="15.75" customHeight="1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  <c r="AA578" s="53" t="n"/>
      <c r="AB578" s="53" t="n"/>
      <c r="AC578" s="53" t="n"/>
      <c r="AD578" s="53" t="n"/>
      <c r="AE578" s="53" t="n"/>
      <c r="AF578" s="53" t="n"/>
      <c r="AG578" s="53" t="n"/>
      <c r="AH578" s="53" t="n"/>
    </row>
    <row r="579" ht="15.75" customHeight="1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  <c r="AA579" s="53" t="n"/>
      <c r="AB579" s="53" t="n"/>
      <c r="AC579" s="53" t="n"/>
      <c r="AD579" s="53" t="n"/>
      <c r="AE579" s="53" t="n"/>
      <c r="AF579" s="53" t="n"/>
      <c r="AG579" s="53" t="n"/>
      <c r="AH579" s="53" t="n"/>
    </row>
    <row r="580" ht="15.75" customHeight="1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  <c r="AA580" s="53" t="n"/>
      <c r="AB580" s="53" t="n"/>
      <c r="AC580" s="53" t="n"/>
      <c r="AD580" s="53" t="n"/>
      <c r="AE580" s="53" t="n"/>
      <c r="AF580" s="53" t="n"/>
      <c r="AG580" s="53" t="n"/>
      <c r="AH580" s="53" t="n"/>
    </row>
    <row r="581" ht="15.75" customHeight="1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  <c r="AA581" s="53" t="n"/>
      <c r="AB581" s="53" t="n"/>
      <c r="AC581" s="53" t="n"/>
      <c r="AD581" s="53" t="n"/>
      <c r="AE581" s="53" t="n"/>
      <c r="AF581" s="53" t="n"/>
      <c r="AG581" s="53" t="n"/>
      <c r="AH581" s="53" t="n"/>
    </row>
    <row r="582" ht="15.75" customHeight="1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  <c r="AA582" s="53" t="n"/>
      <c r="AB582" s="53" t="n"/>
      <c r="AC582" s="53" t="n"/>
      <c r="AD582" s="53" t="n"/>
      <c r="AE582" s="53" t="n"/>
      <c r="AF582" s="53" t="n"/>
      <c r="AG582" s="53" t="n"/>
      <c r="AH582" s="53" t="n"/>
    </row>
    <row r="583" ht="15.75" customHeight="1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  <c r="AA583" s="53" t="n"/>
      <c r="AB583" s="53" t="n"/>
      <c r="AC583" s="53" t="n"/>
      <c r="AD583" s="53" t="n"/>
      <c r="AE583" s="53" t="n"/>
      <c r="AF583" s="53" t="n"/>
      <c r="AG583" s="53" t="n"/>
      <c r="AH583" s="53" t="n"/>
    </row>
    <row r="584" ht="15.75" customHeight="1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  <c r="AA584" s="53" t="n"/>
      <c r="AB584" s="53" t="n"/>
      <c r="AC584" s="53" t="n"/>
      <c r="AD584" s="53" t="n"/>
      <c r="AE584" s="53" t="n"/>
      <c r="AF584" s="53" t="n"/>
      <c r="AG584" s="53" t="n"/>
      <c r="AH584" s="53" t="n"/>
    </row>
    <row r="585" ht="15.75" customHeight="1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  <c r="AA585" s="53" t="n"/>
      <c r="AB585" s="53" t="n"/>
      <c r="AC585" s="53" t="n"/>
      <c r="AD585" s="53" t="n"/>
      <c r="AE585" s="53" t="n"/>
      <c r="AF585" s="53" t="n"/>
      <c r="AG585" s="53" t="n"/>
      <c r="AH585" s="53" t="n"/>
    </row>
    <row r="586" ht="15.75" customHeight="1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  <c r="AA586" s="53" t="n"/>
      <c r="AB586" s="53" t="n"/>
      <c r="AC586" s="53" t="n"/>
      <c r="AD586" s="53" t="n"/>
      <c r="AE586" s="53" t="n"/>
      <c r="AF586" s="53" t="n"/>
      <c r="AG586" s="53" t="n"/>
      <c r="AH586" s="53" t="n"/>
    </row>
    <row r="587" ht="15.75" customHeight="1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  <c r="AA587" s="53" t="n"/>
      <c r="AB587" s="53" t="n"/>
      <c r="AC587" s="53" t="n"/>
      <c r="AD587" s="53" t="n"/>
      <c r="AE587" s="53" t="n"/>
      <c r="AF587" s="53" t="n"/>
      <c r="AG587" s="53" t="n"/>
      <c r="AH587" s="53" t="n"/>
    </row>
    <row r="588" ht="15.75" customHeight="1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  <c r="AA588" s="53" t="n"/>
      <c r="AB588" s="53" t="n"/>
      <c r="AC588" s="53" t="n"/>
      <c r="AD588" s="53" t="n"/>
      <c r="AE588" s="53" t="n"/>
      <c r="AF588" s="53" t="n"/>
      <c r="AG588" s="53" t="n"/>
      <c r="AH588" s="53" t="n"/>
    </row>
    <row r="589" ht="15.75" customHeight="1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  <c r="AA589" s="53" t="n"/>
      <c r="AB589" s="53" t="n"/>
      <c r="AC589" s="53" t="n"/>
      <c r="AD589" s="53" t="n"/>
      <c r="AE589" s="53" t="n"/>
      <c r="AF589" s="53" t="n"/>
      <c r="AG589" s="53" t="n"/>
      <c r="AH589" s="53" t="n"/>
    </row>
    <row r="590" ht="15.75" customHeight="1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  <c r="AA590" s="53" t="n"/>
      <c r="AB590" s="53" t="n"/>
      <c r="AC590" s="53" t="n"/>
      <c r="AD590" s="53" t="n"/>
      <c r="AE590" s="53" t="n"/>
      <c r="AF590" s="53" t="n"/>
      <c r="AG590" s="53" t="n"/>
      <c r="AH590" s="53" t="n"/>
    </row>
    <row r="591" ht="15.75" customHeight="1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  <c r="AA591" s="53" t="n"/>
      <c r="AB591" s="53" t="n"/>
      <c r="AC591" s="53" t="n"/>
      <c r="AD591" s="53" t="n"/>
      <c r="AE591" s="53" t="n"/>
      <c r="AF591" s="53" t="n"/>
      <c r="AG591" s="53" t="n"/>
      <c r="AH591" s="53" t="n"/>
    </row>
    <row r="592" ht="15.75" customHeight="1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  <c r="AA592" s="53" t="n"/>
      <c r="AB592" s="53" t="n"/>
      <c r="AC592" s="53" t="n"/>
      <c r="AD592" s="53" t="n"/>
      <c r="AE592" s="53" t="n"/>
      <c r="AF592" s="53" t="n"/>
      <c r="AG592" s="53" t="n"/>
      <c r="AH592" s="53" t="n"/>
    </row>
    <row r="593" ht="15.75" customHeight="1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  <c r="AA593" s="53" t="n"/>
      <c r="AB593" s="53" t="n"/>
      <c r="AC593" s="53" t="n"/>
      <c r="AD593" s="53" t="n"/>
      <c r="AE593" s="53" t="n"/>
      <c r="AF593" s="53" t="n"/>
      <c r="AG593" s="53" t="n"/>
      <c r="AH593" s="53" t="n"/>
    </row>
    <row r="594" ht="15.75" customHeight="1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  <c r="AA594" s="53" t="n"/>
      <c r="AB594" s="53" t="n"/>
      <c r="AC594" s="53" t="n"/>
      <c r="AD594" s="53" t="n"/>
      <c r="AE594" s="53" t="n"/>
      <c r="AF594" s="53" t="n"/>
      <c r="AG594" s="53" t="n"/>
      <c r="AH594" s="53" t="n"/>
    </row>
    <row r="595" ht="15.75" customHeight="1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  <c r="AA595" s="53" t="n"/>
      <c r="AB595" s="53" t="n"/>
      <c r="AC595" s="53" t="n"/>
      <c r="AD595" s="53" t="n"/>
      <c r="AE595" s="53" t="n"/>
      <c r="AF595" s="53" t="n"/>
      <c r="AG595" s="53" t="n"/>
      <c r="AH595" s="53" t="n"/>
    </row>
    <row r="596" ht="15.75" customHeight="1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  <c r="AA596" s="53" t="n"/>
      <c r="AB596" s="53" t="n"/>
      <c r="AC596" s="53" t="n"/>
      <c r="AD596" s="53" t="n"/>
      <c r="AE596" s="53" t="n"/>
      <c r="AF596" s="53" t="n"/>
      <c r="AG596" s="53" t="n"/>
      <c r="AH596" s="53" t="n"/>
    </row>
    <row r="597" ht="15.75" customHeight="1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  <c r="AA597" s="53" t="n"/>
      <c r="AB597" s="53" t="n"/>
      <c r="AC597" s="53" t="n"/>
      <c r="AD597" s="53" t="n"/>
      <c r="AE597" s="53" t="n"/>
      <c r="AF597" s="53" t="n"/>
      <c r="AG597" s="53" t="n"/>
      <c r="AH597" s="53" t="n"/>
    </row>
    <row r="598" ht="15.75" customHeight="1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  <c r="AA598" s="53" t="n"/>
      <c r="AB598" s="53" t="n"/>
      <c r="AC598" s="53" t="n"/>
      <c r="AD598" s="53" t="n"/>
      <c r="AE598" s="53" t="n"/>
      <c r="AF598" s="53" t="n"/>
      <c r="AG598" s="53" t="n"/>
      <c r="AH598" s="53" t="n"/>
    </row>
    <row r="599" ht="15.75" customHeight="1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  <c r="AA599" s="53" t="n"/>
      <c r="AB599" s="53" t="n"/>
      <c r="AC599" s="53" t="n"/>
      <c r="AD599" s="53" t="n"/>
      <c r="AE599" s="53" t="n"/>
      <c r="AF599" s="53" t="n"/>
      <c r="AG599" s="53" t="n"/>
      <c r="AH599" s="53" t="n"/>
    </row>
    <row r="600" ht="15.75" customHeight="1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  <c r="AA600" s="53" t="n"/>
      <c r="AB600" s="53" t="n"/>
      <c r="AC600" s="53" t="n"/>
      <c r="AD600" s="53" t="n"/>
      <c r="AE600" s="53" t="n"/>
      <c r="AF600" s="53" t="n"/>
      <c r="AG600" s="53" t="n"/>
      <c r="AH600" s="53" t="n"/>
    </row>
    <row r="601" ht="15.75" customHeight="1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  <c r="AA601" s="53" t="n"/>
      <c r="AB601" s="53" t="n"/>
      <c r="AC601" s="53" t="n"/>
      <c r="AD601" s="53" t="n"/>
      <c r="AE601" s="53" t="n"/>
      <c r="AF601" s="53" t="n"/>
      <c r="AG601" s="53" t="n"/>
      <c r="AH601" s="53" t="n"/>
    </row>
    <row r="602" ht="15.75" customHeight="1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  <c r="AA602" s="53" t="n"/>
      <c r="AB602" s="53" t="n"/>
      <c r="AC602" s="53" t="n"/>
      <c r="AD602" s="53" t="n"/>
      <c r="AE602" s="53" t="n"/>
      <c r="AF602" s="53" t="n"/>
      <c r="AG602" s="53" t="n"/>
      <c r="AH602" s="53" t="n"/>
    </row>
    <row r="603" ht="15.75" customHeight="1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  <c r="AA603" s="53" t="n"/>
      <c r="AB603" s="53" t="n"/>
      <c r="AC603" s="53" t="n"/>
      <c r="AD603" s="53" t="n"/>
      <c r="AE603" s="53" t="n"/>
      <c r="AF603" s="53" t="n"/>
      <c r="AG603" s="53" t="n"/>
      <c r="AH603" s="53" t="n"/>
    </row>
    <row r="604" ht="15.75" customHeight="1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  <c r="AA604" s="53" t="n"/>
      <c r="AB604" s="53" t="n"/>
      <c r="AC604" s="53" t="n"/>
      <c r="AD604" s="53" t="n"/>
      <c r="AE604" s="53" t="n"/>
      <c r="AF604" s="53" t="n"/>
      <c r="AG604" s="53" t="n"/>
      <c r="AH604" s="53" t="n"/>
    </row>
    <row r="605" ht="15.75" customHeight="1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  <c r="AA605" s="53" t="n"/>
      <c r="AB605" s="53" t="n"/>
      <c r="AC605" s="53" t="n"/>
      <c r="AD605" s="53" t="n"/>
      <c r="AE605" s="53" t="n"/>
      <c r="AF605" s="53" t="n"/>
      <c r="AG605" s="53" t="n"/>
      <c r="AH605" s="53" t="n"/>
    </row>
    <row r="606" ht="15.75" customHeight="1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  <c r="AA606" s="53" t="n"/>
      <c r="AB606" s="53" t="n"/>
      <c r="AC606" s="53" t="n"/>
      <c r="AD606" s="53" t="n"/>
      <c r="AE606" s="53" t="n"/>
      <c r="AF606" s="53" t="n"/>
      <c r="AG606" s="53" t="n"/>
      <c r="AH606" s="53" t="n"/>
    </row>
    <row r="607" ht="15.75" customHeight="1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  <c r="AA607" s="53" t="n"/>
      <c r="AB607" s="53" t="n"/>
      <c r="AC607" s="53" t="n"/>
      <c r="AD607" s="53" t="n"/>
      <c r="AE607" s="53" t="n"/>
      <c r="AF607" s="53" t="n"/>
      <c r="AG607" s="53" t="n"/>
      <c r="AH607" s="53" t="n"/>
    </row>
    <row r="608" ht="15.75" customHeight="1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  <c r="AA608" s="53" t="n"/>
      <c r="AB608" s="53" t="n"/>
      <c r="AC608" s="53" t="n"/>
      <c r="AD608" s="53" t="n"/>
      <c r="AE608" s="53" t="n"/>
      <c r="AF608" s="53" t="n"/>
      <c r="AG608" s="53" t="n"/>
      <c r="AH608" s="53" t="n"/>
    </row>
    <row r="609" ht="15.75" customHeight="1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  <c r="AA609" s="53" t="n"/>
      <c r="AB609" s="53" t="n"/>
      <c r="AC609" s="53" t="n"/>
      <c r="AD609" s="53" t="n"/>
      <c r="AE609" s="53" t="n"/>
      <c r="AF609" s="53" t="n"/>
      <c r="AG609" s="53" t="n"/>
      <c r="AH609" s="53" t="n"/>
    </row>
    <row r="610" ht="15.75" customHeight="1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  <c r="AA610" s="53" t="n"/>
      <c r="AB610" s="53" t="n"/>
      <c r="AC610" s="53" t="n"/>
      <c r="AD610" s="53" t="n"/>
      <c r="AE610" s="53" t="n"/>
      <c r="AF610" s="53" t="n"/>
      <c r="AG610" s="53" t="n"/>
      <c r="AH610" s="53" t="n"/>
    </row>
    <row r="611" ht="15.75" customHeight="1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  <c r="AA611" s="53" t="n"/>
      <c r="AB611" s="53" t="n"/>
      <c r="AC611" s="53" t="n"/>
      <c r="AD611" s="53" t="n"/>
      <c r="AE611" s="53" t="n"/>
      <c r="AF611" s="53" t="n"/>
      <c r="AG611" s="53" t="n"/>
      <c r="AH611" s="53" t="n"/>
    </row>
    <row r="612" ht="15.75" customHeight="1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  <c r="AA612" s="53" t="n"/>
      <c r="AB612" s="53" t="n"/>
      <c r="AC612" s="53" t="n"/>
      <c r="AD612" s="53" t="n"/>
      <c r="AE612" s="53" t="n"/>
      <c r="AF612" s="53" t="n"/>
      <c r="AG612" s="53" t="n"/>
      <c r="AH612" s="53" t="n"/>
    </row>
    <row r="613" ht="15.75" customHeight="1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  <c r="AA613" s="53" t="n"/>
      <c r="AB613" s="53" t="n"/>
      <c r="AC613" s="53" t="n"/>
      <c r="AD613" s="53" t="n"/>
      <c r="AE613" s="53" t="n"/>
      <c r="AF613" s="53" t="n"/>
      <c r="AG613" s="53" t="n"/>
      <c r="AH613" s="53" t="n"/>
    </row>
    <row r="614" ht="15.75" customHeight="1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  <c r="AA614" s="53" t="n"/>
      <c r="AB614" s="53" t="n"/>
      <c r="AC614" s="53" t="n"/>
      <c r="AD614" s="53" t="n"/>
      <c r="AE614" s="53" t="n"/>
      <c r="AF614" s="53" t="n"/>
      <c r="AG614" s="53" t="n"/>
      <c r="AH614" s="53" t="n"/>
    </row>
    <row r="615" ht="15.75" customHeight="1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  <c r="AA615" s="53" t="n"/>
      <c r="AB615" s="53" t="n"/>
      <c r="AC615" s="53" t="n"/>
      <c r="AD615" s="53" t="n"/>
      <c r="AE615" s="53" t="n"/>
      <c r="AF615" s="53" t="n"/>
      <c r="AG615" s="53" t="n"/>
      <c r="AH615" s="53" t="n"/>
    </row>
    <row r="616" ht="15.75" customHeight="1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  <c r="AA616" s="53" t="n"/>
      <c r="AB616" s="53" t="n"/>
      <c r="AC616" s="53" t="n"/>
      <c r="AD616" s="53" t="n"/>
      <c r="AE616" s="53" t="n"/>
      <c r="AF616" s="53" t="n"/>
      <c r="AG616" s="53" t="n"/>
      <c r="AH616" s="53" t="n"/>
    </row>
    <row r="617" ht="15.75" customHeight="1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  <c r="AA617" s="53" t="n"/>
      <c r="AB617" s="53" t="n"/>
      <c r="AC617" s="53" t="n"/>
      <c r="AD617" s="53" t="n"/>
      <c r="AE617" s="53" t="n"/>
      <c r="AF617" s="53" t="n"/>
      <c r="AG617" s="53" t="n"/>
      <c r="AH617" s="53" t="n"/>
    </row>
    <row r="618" ht="15.75" customHeight="1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  <c r="AA618" s="53" t="n"/>
      <c r="AB618" s="53" t="n"/>
      <c r="AC618" s="53" t="n"/>
      <c r="AD618" s="53" t="n"/>
      <c r="AE618" s="53" t="n"/>
      <c r="AF618" s="53" t="n"/>
      <c r="AG618" s="53" t="n"/>
      <c r="AH618" s="53" t="n"/>
    </row>
    <row r="619" ht="15.75" customHeight="1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  <c r="AA619" s="53" t="n"/>
      <c r="AB619" s="53" t="n"/>
      <c r="AC619" s="53" t="n"/>
      <c r="AD619" s="53" t="n"/>
      <c r="AE619" s="53" t="n"/>
      <c r="AF619" s="53" t="n"/>
      <c r="AG619" s="53" t="n"/>
      <c r="AH619" s="53" t="n"/>
    </row>
    <row r="620" ht="15.75" customHeight="1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  <c r="AA620" s="53" t="n"/>
      <c r="AB620" s="53" t="n"/>
      <c r="AC620" s="53" t="n"/>
      <c r="AD620" s="53" t="n"/>
      <c r="AE620" s="53" t="n"/>
      <c r="AF620" s="53" t="n"/>
      <c r="AG620" s="53" t="n"/>
      <c r="AH620" s="53" t="n"/>
    </row>
    <row r="621" ht="15.75" customHeight="1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  <c r="AA621" s="53" t="n"/>
      <c r="AB621" s="53" t="n"/>
      <c r="AC621" s="53" t="n"/>
      <c r="AD621" s="53" t="n"/>
      <c r="AE621" s="53" t="n"/>
      <c r="AF621" s="53" t="n"/>
      <c r="AG621" s="53" t="n"/>
      <c r="AH621" s="53" t="n"/>
    </row>
    <row r="622" ht="15.75" customHeight="1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  <c r="AA622" s="53" t="n"/>
      <c r="AB622" s="53" t="n"/>
      <c r="AC622" s="53" t="n"/>
      <c r="AD622" s="53" t="n"/>
      <c r="AE622" s="53" t="n"/>
      <c r="AF622" s="53" t="n"/>
      <c r="AG622" s="53" t="n"/>
      <c r="AH622" s="53" t="n"/>
    </row>
    <row r="623" ht="15.75" customHeight="1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  <c r="AA623" s="53" t="n"/>
      <c r="AB623" s="53" t="n"/>
      <c r="AC623" s="53" t="n"/>
      <c r="AD623" s="53" t="n"/>
      <c r="AE623" s="53" t="n"/>
      <c r="AF623" s="53" t="n"/>
      <c r="AG623" s="53" t="n"/>
      <c r="AH623" s="53" t="n"/>
    </row>
    <row r="624" ht="15.75" customHeight="1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  <c r="AA624" s="53" t="n"/>
      <c r="AB624" s="53" t="n"/>
      <c r="AC624" s="53" t="n"/>
      <c r="AD624" s="53" t="n"/>
      <c r="AE624" s="53" t="n"/>
      <c r="AF624" s="53" t="n"/>
      <c r="AG624" s="53" t="n"/>
      <c r="AH624" s="53" t="n"/>
    </row>
    <row r="625" ht="15.75" customHeight="1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  <c r="AA625" s="53" t="n"/>
      <c r="AB625" s="53" t="n"/>
      <c r="AC625" s="53" t="n"/>
      <c r="AD625" s="53" t="n"/>
      <c r="AE625" s="53" t="n"/>
      <c r="AF625" s="53" t="n"/>
      <c r="AG625" s="53" t="n"/>
      <c r="AH625" s="53" t="n"/>
    </row>
    <row r="626" ht="15.75" customHeight="1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  <c r="AA626" s="53" t="n"/>
      <c r="AB626" s="53" t="n"/>
      <c r="AC626" s="53" t="n"/>
      <c r="AD626" s="53" t="n"/>
      <c r="AE626" s="53" t="n"/>
      <c r="AF626" s="53" t="n"/>
      <c r="AG626" s="53" t="n"/>
      <c r="AH626" s="53" t="n"/>
    </row>
    <row r="627" ht="15.75" customHeight="1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  <c r="AA627" s="53" t="n"/>
      <c r="AB627" s="53" t="n"/>
      <c r="AC627" s="53" t="n"/>
      <c r="AD627" s="53" t="n"/>
      <c r="AE627" s="53" t="n"/>
      <c r="AF627" s="53" t="n"/>
      <c r="AG627" s="53" t="n"/>
      <c r="AH627" s="53" t="n"/>
    </row>
    <row r="628" ht="15.75" customHeight="1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  <c r="AA628" s="53" t="n"/>
      <c r="AB628" s="53" t="n"/>
      <c r="AC628" s="53" t="n"/>
      <c r="AD628" s="53" t="n"/>
      <c r="AE628" s="53" t="n"/>
      <c r="AF628" s="53" t="n"/>
      <c r="AG628" s="53" t="n"/>
      <c r="AH628" s="53" t="n"/>
    </row>
    <row r="629" ht="15.75" customHeight="1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  <c r="AA629" s="53" t="n"/>
      <c r="AB629" s="53" t="n"/>
      <c r="AC629" s="53" t="n"/>
      <c r="AD629" s="53" t="n"/>
      <c r="AE629" s="53" t="n"/>
      <c r="AF629" s="53" t="n"/>
      <c r="AG629" s="53" t="n"/>
      <c r="AH629" s="53" t="n"/>
    </row>
    <row r="630" ht="15.75" customHeight="1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  <c r="AA630" s="53" t="n"/>
      <c r="AB630" s="53" t="n"/>
      <c r="AC630" s="53" t="n"/>
      <c r="AD630" s="53" t="n"/>
      <c r="AE630" s="53" t="n"/>
      <c r="AF630" s="53" t="n"/>
      <c r="AG630" s="53" t="n"/>
      <c r="AH630" s="53" t="n"/>
    </row>
    <row r="631" ht="15.75" customHeight="1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  <c r="AA631" s="53" t="n"/>
      <c r="AB631" s="53" t="n"/>
      <c r="AC631" s="53" t="n"/>
      <c r="AD631" s="53" t="n"/>
      <c r="AE631" s="53" t="n"/>
      <c r="AF631" s="53" t="n"/>
      <c r="AG631" s="53" t="n"/>
      <c r="AH631" s="53" t="n"/>
    </row>
    <row r="632" ht="15.75" customHeight="1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  <c r="AA632" s="53" t="n"/>
      <c r="AB632" s="53" t="n"/>
      <c r="AC632" s="53" t="n"/>
      <c r="AD632" s="53" t="n"/>
      <c r="AE632" s="53" t="n"/>
      <c r="AF632" s="53" t="n"/>
      <c r="AG632" s="53" t="n"/>
      <c r="AH632" s="53" t="n"/>
    </row>
    <row r="633" ht="15.75" customHeight="1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  <c r="AA633" s="53" t="n"/>
      <c r="AB633" s="53" t="n"/>
      <c r="AC633" s="53" t="n"/>
      <c r="AD633" s="53" t="n"/>
      <c r="AE633" s="53" t="n"/>
      <c r="AF633" s="53" t="n"/>
      <c r="AG633" s="53" t="n"/>
      <c r="AH633" s="53" t="n"/>
    </row>
    <row r="634" ht="15.75" customHeight="1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  <c r="AA634" s="53" t="n"/>
      <c r="AB634" s="53" t="n"/>
      <c r="AC634" s="53" t="n"/>
      <c r="AD634" s="53" t="n"/>
      <c r="AE634" s="53" t="n"/>
      <c r="AF634" s="53" t="n"/>
      <c r="AG634" s="53" t="n"/>
      <c r="AH634" s="53" t="n"/>
    </row>
    <row r="635" ht="15.75" customHeight="1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  <c r="AA635" s="53" t="n"/>
      <c r="AB635" s="53" t="n"/>
      <c r="AC635" s="53" t="n"/>
      <c r="AD635" s="53" t="n"/>
      <c r="AE635" s="53" t="n"/>
      <c r="AF635" s="53" t="n"/>
      <c r="AG635" s="53" t="n"/>
      <c r="AH635" s="53" t="n"/>
    </row>
    <row r="636" ht="15.75" customHeight="1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  <c r="AA636" s="53" t="n"/>
      <c r="AB636" s="53" t="n"/>
      <c r="AC636" s="53" t="n"/>
      <c r="AD636" s="53" t="n"/>
      <c r="AE636" s="53" t="n"/>
      <c r="AF636" s="53" t="n"/>
      <c r="AG636" s="53" t="n"/>
      <c r="AH636" s="53" t="n"/>
    </row>
    <row r="637" ht="15.75" customHeight="1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  <c r="AA637" s="53" t="n"/>
      <c r="AB637" s="53" t="n"/>
      <c r="AC637" s="53" t="n"/>
      <c r="AD637" s="53" t="n"/>
      <c r="AE637" s="53" t="n"/>
      <c r="AF637" s="53" t="n"/>
      <c r="AG637" s="53" t="n"/>
      <c r="AH637" s="53" t="n"/>
    </row>
    <row r="638" ht="15.75" customHeight="1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  <c r="AA638" s="53" t="n"/>
      <c r="AB638" s="53" t="n"/>
      <c r="AC638" s="53" t="n"/>
      <c r="AD638" s="53" t="n"/>
      <c r="AE638" s="53" t="n"/>
      <c r="AF638" s="53" t="n"/>
      <c r="AG638" s="53" t="n"/>
      <c r="AH638" s="53" t="n"/>
    </row>
    <row r="639" ht="15.75" customHeight="1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  <c r="AA639" s="53" t="n"/>
      <c r="AB639" s="53" t="n"/>
      <c r="AC639" s="53" t="n"/>
      <c r="AD639" s="53" t="n"/>
      <c r="AE639" s="53" t="n"/>
      <c r="AF639" s="53" t="n"/>
      <c r="AG639" s="53" t="n"/>
      <c r="AH639" s="53" t="n"/>
    </row>
    <row r="640" ht="15.75" customHeight="1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  <c r="AA640" s="53" t="n"/>
      <c r="AB640" s="53" t="n"/>
      <c r="AC640" s="53" t="n"/>
      <c r="AD640" s="53" t="n"/>
      <c r="AE640" s="53" t="n"/>
      <c r="AF640" s="53" t="n"/>
      <c r="AG640" s="53" t="n"/>
      <c r="AH640" s="53" t="n"/>
    </row>
    <row r="641" ht="15.75" customHeight="1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  <c r="AA641" s="53" t="n"/>
      <c r="AB641" s="53" t="n"/>
      <c r="AC641" s="53" t="n"/>
      <c r="AD641" s="53" t="n"/>
      <c r="AE641" s="53" t="n"/>
      <c r="AF641" s="53" t="n"/>
      <c r="AG641" s="53" t="n"/>
      <c r="AH641" s="53" t="n"/>
    </row>
    <row r="642" ht="15.75" customHeight="1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  <c r="AA642" s="53" t="n"/>
      <c r="AB642" s="53" t="n"/>
      <c r="AC642" s="53" t="n"/>
      <c r="AD642" s="53" t="n"/>
      <c r="AE642" s="53" t="n"/>
      <c r="AF642" s="53" t="n"/>
      <c r="AG642" s="53" t="n"/>
      <c r="AH642" s="53" t="n"/>
    </row>
    <row r="643" ht="15.75" customHeight="1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  <c r="AA643" s="53" t="n"/>
      <c r="AB643" s="53" t="n"/>
      <c r="AC643" s="53" t="n"/>
      <c r="AD643" s="53" t="n"/>
      <c r="AE643" s="53" t="n"/>
      <c r="AF643" s="53" t="n"/>
      <c r="AG643" s="53" t="n"/>
      <c r="AH643" s="53" t="n"/>
    </row>
    <row r="644" ht="15.75" customHeight="1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  <c r="AA644" s="53" t="n"/>
      <c r="AB644" s="53" t="n"/>
      <c r="AC644" s="53" t="n"/>
      <c r="AD644" s="53" t="n"/>
      <c r="AE644" s="53" t="n"/>
      <c r="AF644" s="53" t="n"/>
      <c r="AG644" s="53" t="n"/>
      <c r="AH644" s="53" t="n"/>
    </row>
    <row r="645" ht="15.75" customHeight="1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  <c r="AA645" s="53" t="n"/>
      <c r="AB645" s="53" t="n"/>
      <c r="AC645" s="53" t="n"/>
      <c r="AD645" s="53" t="n"/>
      <c r="AE645" s="53" t="n"/>
      <c r="AF645" s="53" t="n"/>
      <c r="AG645" s="53" t="n"/>
      <c r="AH645" s="53" t="n"/>
    </row>
    <row r="646" ht="15.75" customHeight="1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  <c r="AA646" s="53" t="n"/>
      <c r="AB646" s="53" t="n"/>
      <c r="AC646" s="53" t="n"/>
      <c r="AD646" s="53" t="n"/>
      <c r="AE646" s="53" t="n"/>
      <c r="AF646" s="53" t="n"/>
      <c r="AG646" s="53" t="n"/>
      <c r="AH646" s="53" t="n"/>
    </row>
    <row r="647" ht="15.75" customHeight="1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  <c r="AA647" s="53" t="n"/>
      <c r="AB647" s="53" t="n"/>
      <c r="AC647" s="53" t="n"/>
      <c r="AD647" s="53" t="n"/>
      <c r="AE647" s="53" t="n"/>
      <c r="AF647" s="53" t="n"/>
      <c r="AG647" s="53" t="n"/>
      <c r="AH647" s="53" t="n"/>
    </row>
    <row r="648" ht="15.75" customHeight="1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  <c r="AA648" s="53" t="n"/>
      <c r="AB648" s="53" t="n"/>
      <c r="AC648" s="53" t="n"/>
      <c r="AD648" s="53" t="n"/>
      <c r="AE648" s="53" t="n"/>
      <c r="AF648" s="53" t="n"/>
      <c r="AG648" s="53" t="n"/>
      <c r="AH648" s="53" t="n"/>
    </row>
    <row r="649" ht="15.75" customHeight="1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  <c r="AA649" s="53" t="n"/>
      <c r="AB649" s="53" t="n"/>
      <c r="AC649" s="53" t="n"/>
      <c r="AD649" s="53" t="n"/>
      <c r="AE649" s="53" t="n"/>
      <c r="AF649" s="53" t="n"/>
      <c r="AG649" s="53" t="n"/>
      <c r="AH649" s="53" t="n"/>
    </row>
    <row r="650" ht="15.75" customHeight="1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  <c r="AA650" s="53" t="n"/>
      <c r="AB650" s="53" t="n"/>
      <c r="AC650" s="53" t="n"/>
      <c r="AD650" s="53" t="n"/>
      <c r="AE650" s="53" t="n"/>
      <c r="AF650" s="53" t="n"/>
      <c r="AG650" s="53" t="n"/>
      <c r="AH650" s="53" t="n"/>
    </row>
    <row r="651" ht="15.75" customHeight="1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  <c r="AA651" s="53" t="n"/>
      <c r="AB651" s="53" t="n"/>
      <c r="AC651" s="53" t="n"/>
      <c r="AD651" s="53" t="n"/>
      <c r="AE651" s="53" t="n"/>
      <c r="AF651" s="53" t="n"/>
      <c r="AG651" s="53" t="n"/>
      <c r="AH651" s="53" t="n"/>
    </row>
    <row r="652" ht="15.75" customHeight="1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  <c r="AA652" s="53" t="n"/>
      <c r="AB652" s="53" t="n"/>
      <c r="AC652" s="53" t="n"/>
      <c r="AD652" s="53" t="n"/>
      <c r="AE652" s="53" t="n"/>
      <c r="AF652" s="53" t="n"/>
      <c r="AG652" s="53" t="n"/>
      <c r="AH652" s="53" t="n"/>
    </row>
    <row r="653" ht="15.75" customHeight="1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  <c r="AA653" s="53" t="n"/>
      <c r="AB653" s="53" t="n"/>
      <c r="AC653" s="53" t="n"/>
      <c r="AD653" s="53" t="n"/>
      <c r="AE653" s="53" t="n"/>
      <c r="AF653" s="53" t="n"/>
      <c r="AG653" s="53" t="n"/>
      <c r="AH653" s="53" t="n"/>
    </row>
    <row r="654" ht="15.75" customHeight="1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  <c r="AA654" s="53" t="n"/>
      <c r="AB654" s="53" t="n"/>
      <c r="AC654" s="53" t="n"/>
      <c r="AD654" s="53" t="n"/>
      <c r="AE654" s="53" t="n"/>
      <c r="AF654" s="53" t="n"/>
      <c r="AG654" s="53" t="n"/>
      <c r="AH654" s="53" t="n"/>
    </row>
    <row r="655" ht="15.75" customHeight="1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  <c r="AA655" s="53" t="n"/>
      <c r="AB655" s="53" t="n"/>
      <c r="AC655" s="53" t="n"/>
      <c r="AD655" s="53" t="n"/>
      <c r="AE655" s="53" t="n"/>
      <c r="AF655" s="53" t="n"/>
      <c r="AG655" s="53" t="n"/>
      <c r="AH655" s="53" t="n"/>
    </row>
    <row r="656" ht="15.75" customHeight="1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  <c r="AA656" s="53" t="n"/>
      <c r="AB656" s="53" t="n"/>
      <c r="AC656" s="53" t="n"/>
      <c r="AD656" s="53" t="n"/>
      <c r="AE656" s="53" t="n"/>
      <c r="AF656" s="53" t="n"/>
      <c r="AG656" s="53" t="n"/>
      <c r="AH656" s="53" t="n"/>
    </row>
    <row r="657" ht="15.75" customHeight="1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  <c r="AA657" s="53" t="n"/>
      <c r="AB657" s="53" t="n"/>
      <c r="AC657" s="53" t="n"/>
      <c r="AD657" s="53" t="n"/>
      <c r="AE657" s="53" t="n"/>
      <c r="AF657" s="53" t="n"/>
      <c r="AG657" s="53" t="n"/>
      <c r="AH657" s="53" t="n"/>
    </row>
    <row r="658" ht="15.75" customHeight="1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  <c r="AA658" s="53" t="n"/>
      <c r="AB658" s="53" t="n"/>
      <c r="AC658" s="53" t="n"/>
      <c r="AD658" s="53" t="n"/>
      <c r="AE658" s="53" t="n"/>
      <c r="AF658" s="53" t="n"/>
      <c r="AG658" s="53" t="n"/>
      <c r="AH658" s="53" t="n"/>
    </row>
    <row r="659" ht="15.75" customHeight="1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  <c r="AA659" s="53" t="n"/>
      <c r="AB659" s="53" t="n"/>
      <c r="AC659" s="53" t="n"/>
      <c r="AD659" s="53" t="n"/>
      <c r="AE659" s="53" t="n"/>
      <c r="AF659" s="53" t="n"/>
      <c r="AG659" s="53" t="n"/>
      <c r="AH659" s="53" t="n"/>
    </row>
    <row r="660" ht="15.75" customHeight="1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  <c r="AA660" s="53" t="n"/>
      <c r="AB660" s="53" t="n"/>
      <c r="AC660" s="53" t="n"/>
      <c r="AD660" s="53" t="n"/>
      <c r="AE660" s="53" t="n"/>
      <c r="AF660" s="53" t="n"/>
      <c r="AG660" s="53" t="n"/>
      <c r="AH660" s="53" t="n"/>
    </row>
    <row r="661" ht="15.75" customHeight="1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  <c r="AA661" s="53" t="n"/>
      <c r="AB661" s="53" t="n"/>
      <c r="AC661" s="53" t="n"/>
      <c r="AD661" s="53" t="n"/>
      <c r="AE661" s="53" t="n"/>
      <c r="AF661" s="53" t="n"/>
      <c r="AG661" s="53" t="n"/>
      <c r="AH661" s="53" t="n"/>
    </row>
    <row r="662" ht="15.75" customHeight="1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  <c r="AA662" s="53" t="n"/>
      <c r="AB662" s="53" t="n"/>
      <c r="AC662" s="53" t="n"/>
      <c r="AD662" s="53" t="n"/>
      <c r="AE662" s="53" t="n"/>
      <c r="AF662" s="53" t="n"/>
      <c r="AG662" s="53" t="n"/>
      <c r="AH662" s="53" t="n"/>
    </row>
    <row r="663" ht="15.75" customHeight="1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  <c r="AA663" s="53" t="n"/>
      <c r="AB663" s="53" t="n"/>
      <c r="AC663" s="53" t="n"/>
      <c r="AD663" s="53" t="n"/>
      <c r="AE663" s="53" t="n"/>
      <c r="AF663" s="53" t="n"/>
      <c r="AG663" s="53" t="n"/>
      <c r="AH663" s="53" t="n"/>
    </row>
    <row r="664" ht="15.75" customHeight="1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  <c r="AA664" s="53" t="n"/>
      <c r="AB664" s="53" t="n"/>
      <c r="AC664" s="53" t="n"/>
      <c r="AD664" s="53" t="n"/>
      <c r="AE664" s="53" t="n"/>
      <c r="AF664" s="53" t="n"/>
      <c r="AG664" s="53" t="n"/>
      <c r="AH664" s="53" t="n"/>
    </row>
    <row r="665" ht="15.75" customHeight="1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  <c r="AA665" s="53" t="n"/>
      <c r="AB665" s="53" t="n"/>
      <c r="AC665" s="53" t="n"/>
      <c r="AD665" s="53" t="n"/>
      <c r="AE665" s="53" t="n"/>
      <c r="AF665" s="53" t="n"/>
      <c r="AG665" s="53" t="n"/>
      <c r="AH665" s="53" t="n"/>
    </row>
    <row r="666" ht="15.75" customHeight="1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  <c r="AA666" s="53" t="n"/>
      <c r="AB666" s="53" t="n"/>
      <c r="AC666" s="53" t="n"/>
      <c r="AD666" s="53" t="n"/>
      <c r="AE666" s="53" t="n"/>
      <c r="AF666" s="53" t="n"/>
      <c r="AG666" s="53" t="n"/>
      <c r="AH666" s="53" t="n"/>
    </row>
    <row r="667" ht="15.75" customHeight="1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  <c r="AA667" s="53" t="n"/>
      <c r="AB667" s="53" t="n"/>
      <c r="AC667" s="53" t="n"/>
      <c r="AD667" s="53" t="n"/>
      <c r="AE667" s="53" t="n"/>
      <c r="AF667" s="53" t="n"/>
      <c r="AG667" s="53" t="n"/>
      <c r="AH667" s="53" t="n"/>
    </row>
    <row r="668" ht="15.75" customHeight="1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  <c r="AA668" s="53" t="n"/>
      <c r="AB668" s="53" t="n"/>
      <c r="AC668" s="53" t="n"/>
      <c r="AD668" s="53" t="n"/>
      <c r="AE668" s="53" t="n"/>
      <c r="AF668" s="53" t="n"/>
      <c r="AG668" s="53" t="n"/>
      <c r="AH668" s="53" t="n"/>
    </row>
    <row r="669" ht="15.75" customHeight="1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  <c r="AA669" s="53" t="n"/>
      <c r="AB669" s="53" t="n"/>
      <c r="AC669" s="53" t="n"/>
      <c r="AD669" s="53" t="n"/>
      <c r="AE669" s="53" t="n"/>
      <c r="AF669" s="53" t="n"/>
      <c r="AG669" s="53" t="n"/>
      <c r="AH669" s="53" t="n"/>
    </row>
    <row r="670" ht="15.75" customHeight="1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  <c r="AA670" s="53" t="n"/>
      <c r="AB670" s="53" t="n"/>
      <c r="AC670" s="53" t="n"/>
      <c r="AD670" s="53" t="n"/>
      <c r="AE670" s="53" t="n"/>
      <c r="AF670" s="53" t="n"/>
      <c r="AG670" s="53" t="n"/>
      <c r="AH670" s="53" t="n"/>
    </row>
    <row r="671" ht="15.75" customHeight="1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  <c r="AA671" s="53" t="n"/>
      <c r="AB671" s="53" t="n"/>
      <c r="AC671" s="53" t="n"/>
      <c r="AD671" s="53" t="n"/>
      <c r="AE671" s="53" t="n"/>
      <c r="AF671" s="53" t="n"/>
      <c r="AG671" s="53" t="n"/>
      <c r="AH671" s="53" t="n"/>
    </row>
    <row r="672" ht="15.75" customHeight="1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  <c r="AA672" s="53" t="n"/>
      <c r="AB672" s="53" t="n"/>
      <c r="AC672" s="53" t="n"/>
      <c r="AD672" s="53" t="n"/>
      <c r="AE672" s="53" t="n"/>
      <c r="AF672" s="53" t="n"/>
      <c r="AG672" s="53" t="n"/>
      <c r="AH672" s="53" t="n"/>
    </row>
    <row r="673" ht="15.75" customHeight="1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  <c r="AA673" s="53" t="n"/>
      <c r="AB673" s="53" t="n"/>
      <c r="AC673" s="53" t="n"/>
      <c r="AD673" s="53" t="n"/>
      <c r="AE673" s="53" t="n"/>
      <c r="AF673" s="53" t="n"/>
      <c r="AG673" s="53" t="n"/>
      <c r="AH673" s="53" t="n"/>
    </row>
    <row r="674" ht="15.75" customHeight="1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  <c r="AA674" s="53" t="n"/>
      <c r="AB674" s="53" t="n"/>
      <c r="AC674" s="53" t="n"/>
      <c r="AD674" s="53" t="n"/>
      <c r="AE674" s="53" t="n"/>
      <c r="AF674" s="53" t="n"/>
      <c r="AG674" s="53" t="n"/>
      <c r="AH674" s="53" t="n"/>
    </row>
    <row r="675" ht="15.75" customHeight="1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  <c r="AA675" s="53" t="n"/>
      <c r="AB675" s="53" t="n"/>
      <c r="AC675" s="53" t="n"/>
      <c r="AD675" s="53" t="n"/>
      <c r="AE675" s="53" t="n"/>
      <c r="AF675" s="53" t="n"/>
      <c r="AG675" s="53" t="n"/>
      <c r="AH675" s="53" t="n"/>
    </row>
    <row r="676" ht="15.75" customHeight="1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  <c r="AA676" s="53" t="n"/>
      <c r="AB676" s="53" t="n"/>
      <c r="AC676" s="53" t="n"/>
      <c r="AD676" s="53" t="n"/>
      <c r="AE676" s="53" t="n"/>
      <c r="AF676" s="53" t="n"/>
      <c r="AG676" s="53" t="n"/>
      <c r="AH676" s="53" t="n"/>
    </row>
    <row r="677" ht="15.75" customHeight="1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  <c r="AA677" s="53" t="n"/>
      <c r="AB677" s="53" t="n"/>
      <c r="AC677" s="53" t="n"/>
      <c r="AD677" s="53" t="n"/>
      <c r="AE677" s="53" t="n"/>
      <c r="AF677" s="53" t="n"/>
      <c r="AG677" s="53" t="n"/>
      <c r="AH677" s="53" t="n"/>
    </row>
    <row r="678" ht="15.75" customHeight="1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  <c r="AA678" s="53" t="n"/>
      <c r="AB678" s="53" t="n"/>
      <c r="AC678" s="53" t="n"/>
      <c r="AD678" s="53" t="n"/>
      <c r="AE678" s="53" t="n"/>
      <c r="AF678" s="53" t="n"/>
      <c r="AG678" s="53" t="n"/>
      <c r="AH678" s="53" t="n"/>
    </row>
    <row r="679" ht="15.75" customHeight="1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  <c r="AA679" s="53" t="n"/>
      <c r="AB679" s="53" t="n"/>
      <c r="AC679" s="53" t="n"/>
      <c r="AD679" s="53" t="n"/>
      <c r="AE679" s="53" t="n"/>
      <c r="AF679" s="53" t="n"/>
      <c r="AG679" s="53" t="n"/>
      <c r="AH679" s="53" t="n"/>
    </row>
    <row r="680" ht="15.75" customHeight="1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  <c r="AA680" s="53" t="n"/>
      <c r="AB680" s="53" t="n"/>
      <c r="AC680" s="53" t="n"/>
      <c r="AD680" s="53" t="n"/>
      <c r="AE680" s="53" t="n"/>
      <c r="AF680" s="53" t="n"/>
      <c r="AG680" s="53" t="n"/>
      <c r="AH680" s="53" t="n"/>
    </row>
    <row r="681" ht="15.75" customHeight="1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  <c r="AA681" s="53" t="n"/>
      <c r="AB681" s="53" t="n"/>
      <c r="AC681" s="53" t="n"/>
      <c r="AD681" s="53" t="n"/>
      <c r="AE681" s="53" t="n"/>
      <c r="AF681" s="53" t="n"/>
      <c r="AG681" s="53" t="n"/>
      <c r="AH681" s="53" t="n"/>
    </row>
    <row r="682" ht="15.75" customHeight="1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  <c r="AA682" s="53" t="n"/>
      <c r="AB682" s="53" t="n"/>
      <c r="AC682" s="53" t="n"/>
      <c r="AD682" s="53" t="n"/>
      <c r="AE682" s="53" t="n"/>
      <c r="AF682" s="53" t="n"/>
      <c r="AG682" s="53" t="n"/>
      <c r="AH682" s="53" t="n"/>
    </row>
    <row r="683" ht="15.75" customHeight="1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  <c r="AA683" s="53" t="n"/>
      <c r="AB683" s="53" t="n"/>
      <c r="AC683" s="53" t="n"/>
      <c r="AD683" s="53" t="n"/>
      <c r="AE683" s="53" t="n"/>
      <c r="AF683" s="53" t="n"/>
      <c r="AG683" s="53" t="n"/>
      <c r="AH683" s="53" t="n"/>
    </row>
    <row r="684" ht="15.75" customHeight="1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  <c r="AA684" s="53" t="n"/>
      <c r="AB684" s="53" t="n"/>
      <c r="AC684" s="53" t="n"/>
      <c r="AD684" s="53" t="n"/>
      <c r="AE684" s="53" t="n"/>
      <c r="AF684" s="53" t="n"/>
      <c r="AG684" s="53" t="n"/>
      <c r="AH684" s="53" t="n"/>
    </row>
    <row r="685" ht="15.75" customHeight="1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  <c r="AA685" s="53" t="n"/>
      <c r="AB685" s="53" t="n"/>
      <c r="AC685" s="53" t="n"/>
      <c r="AD685" s="53" t="n"/>
      <c r="AE685" s="53" t="n"/>
      <c r="AF685" s="53" t="n"/>
      <c r="AG685" s="53" t="n"/>
      <c r="AH685" s="53" t="n"/>
    </row>
    <row r="686" ht="15.75" customHeight="1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  <c r="AA686" s="53" t="n"/>
      <c r="AB686" s="53" t="n"/>
      <c r="AC686" s="53" t="n"/>
      <c r="AD686" s="53" t="n"/>
      <c r="AE686" s="53" t="n"/>
      <c r="AF686" s="53" t="n"/>
      <c r="AG686" s="53" t="n"/>
      <c r="AH686" s="53" t="n"/>
    </row>
    <row r="687" ht="15.75" customHeight="1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  <c r="AA687" s="53" t="n"/>
      <c r="AB687" s="53" t="n"/>
      <c r="AC687" s="53" t="n"/>
      <c r="AD687" s="53" t="n"/>
      <c r="AE687" s="53" t="n"/>
      <c r="AF687" s="53" t="n"/>
      <c r="AG687" s="53" t="n"/>
      <c r="AH687" s="53" t="n"/>
    </row>
    <row r="688" ht="15.75" customHeight="1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  <c r="AA688" s="53" t="n"/>
      <c r="AB688" s="53" t="n"/>
      <c r="AC688" s="53" t="n"/>
      <c r="AD688" s="53" t="n"/>
      <c r="AE688" s="53" t="n"/>
      <c r="AF688" s="53" t="n"/>
      <c r="AG688" s="53" t="n"/>
      <c r="AH688" s="53" t="n"/>
    </row>
    <row r="689" ht="15.75" customHeight="1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  <c r="AA689" s="53" t="n"/>
      <c r="AB689" s="53" t="n"/>
      <c r="AC689" s="53" t="n"/>
      <c r="AD689" s="53" t="n"/>
      <c r="AE689" s="53" t="n"/>
      <c r="AF689" s="53" t="n"/>
      <c r="AG689" s="53" t="n"/>
      <c r="AH689" s="53" t="n"/>
    </row>
    <row r="690" ht="15.75" customHeight="1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  <c r="AA690" s="53" t="n"/>
      <c r="AB690" s="53" t="n"/>
      <c r="AC690" s="53" t="n"/>
      <c r="AD690" s="53" t="n"/>
      <c r="AE690" s="53" t="n"/>
      <c r="AF690" s="53" t="n"/>
      <c r="AG690" s="53" t="n"/>
      <c r="AH690" s="53" t="n"/>
    </row>
    <row r="691" ht="15.75" customHeight="1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  <c r="AA691" s="53" t="n"/>
      <c r="AB691" s="53" t="n"/>
      <c r="AC691" s="53" t="n"/>
      <c r="AD691" s="53" t="n"/>
      <c r="AE691" s="53" t="n"/>
      <c r="AF691" s="53" t="n"/>
      <c r="AG691" s="53" t="n"/>
      <c r="AH691" s="53" t="n"/>
    </row>
    <row r="692" ht="15.75" customHeight="1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  <c r="AA692" s="53" t="n"/>
      <c r="AB692" s="53" t="n"/>
      <c r="AC692" s="53" t="n"/>
      <c r="AD692" s="53" t="n"/>
      <c r="AE692" s="53" t="n"/>
      <c r="AF692" s="53" t="n"/>
      <c r="AG692" s="53" t="n"/>
      <c r="AH692" s="53" t="n"/>
    </row>
    <row r="693" ht="15.75" customHeight="1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  <c r="AA693" s="53" t="n"/>
      <c r="AB693" s="53" t="n"/>
      <c r="AC693" s="53" t="n"/>
      <c r="AD693" s="53" t="n"/>
      <c r="AE693" s="53" t="n"/>
      <c r="AF693" s="53" t="n"/>
      <c r="AG693" s="53" t="n"/>
      <c r="AH693" s="53" t="n"/>
    </row>
    <row r="694" ht="15.75" customHeight="1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  <c r="AA694" s="53" t="n"/>
      <c r="AB694" s="53" t="n"/>
      <c r="AC694" s="53" t="n"/>
      <c r="AD694" s="53" t="n"/>
      <c r="AE694" s="53" t="n"/>
      <c r="AF694" s="53" t="n"/>
      <c r="AG694" s="53" t="n"/>
      <c r="AH694" s="53" t="n"/>
    </row>
    <row r="695" ht="15.75" customHeight="1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  <c r="AA695" s="53" t="n"/>
      <c r="AB695" s="53" t="n"/>
      <c r="AC695" s="53" t="n"/>
      <c r="AD695" s="53" t="n"/>
      <c r="AE695" s="53" t="n"/>
      <c r="AF695" s="53" t="n"/>
      <c r="AG695" s="53" t="n"/>
      <c r="AH695" s="53" t="n"/>
    </row>
    <row r="696" ht="15.75" customHeight="1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  <c r="AA696" s="53" t="n"/>
      <c r="AB696" s="53" t="n"/>
      <c r="AC696" s="53" t="n"/>
      <c r="AD696" s="53" t="n"/>
      <c r="AE696" s="53" t="n"/>
      <c r="AF696" s="53" t="n"/>
      <c r="AG696" s="53" t="n"/>
      <c r="AH696" s="53" t="n"/>
    </row>
    <row r="697" ht="15.75" customHeight="1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  <c r="AA697" s="53" t="n"/>
      <c r="AB697" s="53" t="n"/>
      <c r="AC697" s="53" t="n"/>
      <c r="AD697" s="53" t="n"/>
      <c r="AE697" s="53" t="n"/>
      <c r="AF697" s="53" t="n"/>
      <c r="AG697" s="53" t="n"/>
      <c r="AH697" s="53" t="n"/>
    </row>
    <row r="698" ht="15.75" customHeight="1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  <c r="AA698" s="53" t="n"/>
      <c r="AB698" s="53" t="n"/>
      <c r="AC698" s="53" t="n"/>
      <c r="AD698" s="53" t="n"/>
      <c r="AE698" s="53" t="n"/>
      <c r="AF698" s="53" t="n"/>
      <c r="AG698" s="53" t="n"/>
      <c r="AH698" s="53" t="n"/>
    </row>
    <row r="699" ht="15.75" customHeight="1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  <c r="AA699" s="53" t="n"/>
      <c r="AB699" s="53" t="n"/>
      <c r="AC699" s="53" t="n"/>
      <c r="AD699" s="53" t="n"/>
      <c r="AE699" s="53" t="n"/>
      <c r="AF699" s="53" t="n"/>
      <c r="AG699" s="53" t="n"/>
      <c r="AH699" s="53" t="n"/>
    </row>
    <row r="700" ht="15.75" customHeight="1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  <c r="AA700" s="53" t="n"/>
      <c r="AB700" s="53" t="n"/>
      <c r="AC700" s="53" t="n"/>
      <c r="AD700" s="53" t="n"/>
      <c r="AE700" s="53" t="n"/>
      <c r="AF700" s="53" t="n"/>
      <c r="AG700" s="53" t="n"/>
      <c r="AH700" s="53" t="n"/>
    </row>
    <row r="701" ht="15.75" customHeight="1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  <c r="AA701" s="53" t="n"/>
      <c r="AB701" s="53" t="n"/>
      <c r="AC701" s="53" t="n"/>
      <c r="AD701" s="53" t="n"/>
      <c r="AE701" s="53" t="n"/>
      <c r="AF701" s="53" t="n"/>
      <c r="AG701" s="53" t="n"/>
      <c r="AH701" s="53" t="n"/>
    </row>
    <row r="702" ht="15.75" customHeight="1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  <c r="AA702" s="53" t="n"/>
      <c r="AB702" s="53" t="n"/>
      <c r="AC702" s="53" t="n"/>
      <c r="AD702" s="53" t="n"/>
      <c r="AE702" s="53" t="n"/>
      <c r="AF702" s="53" t="n"/>
      <c r="AG702" s="53" t="n"/>
      <c r="AH702" s="53" t="n"/>
    </row>
    <row r="703" ht="15.75" customHeight="1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  <c r="AA703" s="53" t="n"/>
      <c r="AB703" s="53" t="n"/>
      <c r="AC703" s="53" t="n"/>
      <c r="AD703" s="53" t="n"/>
      <c r="AE703" s="53" t="n"/>
      <c r="AF703" s="53" t="n"/>
      <c r="AG703" s="53" t="n"/>
      <c r="AH703" s="53" t="n"/>
    </row>
    <row r="704" ht="15.75" customHeight="1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  <c r="AA704" s="53" t="n"/>
      <c r="AB704" s="53" t="n"/>
      <c r="AC704" s="53" t="n"/>
      <c r="AD704" s="53" t="n"/>
      <c r="AE704" s="53" t="n"/>
      <c r="AF704" s="53" t="n"/>
      <c r="AG704" s="53" t="n"/>
      <c r="AH704" s="53" t="n"/>
    </row>
    <row r="705" ht="15.75" customHeight="1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  <c r="AA705" s="53" t="n"/>
      <c r="AB705" s="53" t="n"/>
      <c r="AC705" s="53" t="n"/>
      <c r="AD705" s="53" t="n"/>
      <c r="AE705" s="53" t="n"/>
      <c r="AF705" s="53" t="n"/>
      <c r="AG705" s="53" t="n"/>
      <c r="AH705" s="53" t="n"/>
    </row>
    <row r="706" ht="15.75" customHeight="1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  <c r="AA706" s="53" t="n"/>
      <c r="AB706" s="53" t="n"/>
      <c r="AC706" s="53" t="n"/>
      <c r="AD706" s="53" t="n"/>
      <c r="AE706" s="53" t="n"/>
      <c r="AF706" s="53" t="n"/>
      <c r="AG706" s="53" t="n"/>
      <c r="AH706" s="53" t="n"/>
    </row>
    <row r="707" ht="15.75" customHeight="1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  <c r="AA707" s="53" t="n"/>
      <c r="AB707" s="53" t="n"/>
      <c r="AC707" s="53" t="n"/>
      <c r="AD707" s="53" t="n"/>
      <c r="AE707" s="53" t="n"/>
      <c r="AF707" s="53" t="n"/>
      <c r="AG707" s="53" t="n"/>
      <c r="AH707" s="53" t="n"/>
    </row>
    <row r="708" ht="15.75" customHeight="1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  <c r="AA708" s="53" t="n"/>
      <c r="AB708" s="53" t="n"/>
      <c r="AC708" s="53" t="n"/>
      <c r="AD708" s="53" t="n"/>
      <c r="AE708" s="53" t="n"/>
      <c r="AF708" s="53" t="n"/>
      <c r="AG708" s="53" t="n"/>
      <c r="AH708" s="53" t="n"/>
    </row>
    <row r="709" ht="15.75" customHeight="1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  <c r="AA709" s="53" t="n"/>
      <c r="AB709" s="53" t="n"/>
      <c r="AC709" s="53" t="n"/>
      <c r="AD709" s="53" t="n"/>
      <c r="AE709" s="53" t="n"/>
      <c r="AF709" s="53" t="n"/>
      <c r="AG709" s="53" t="n"/>
      <c r="AH709" s="53" t="n"/>
    </row>
    <row r="710" ht="15.75" customHeight="1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  <c r="AA710" s="53" t="n"/>
      <c r="AB710" s="53" t="n"/>
      <c r="AC710" s="53" t="n"/>
      <c r="AD710" s="53" t="n"/>
      <c r="AE710" s="53" t="n"/>
      <c r="AF710" s="53" t="n"/>
      <c r="AG710" s="53" t="n"/>
      <c r="AH710" s="53" t="n"/>
    </row>
    <row r="711" ht="15.75" customHeight="1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  <c r="AA711" s="53" t="n"/>
      <c r="AB711" s="53" t="n"/>
      <c r="AC711" s="53" t="n"/>
      <c r="AD711" s="53" t="n"/>
      <c r="AE711" s="53" t="n"/>
      <c r="AF711" s="53" t="n"/>
      <c r="AG711" s="53" t="n"/>
      <c r="AH711" s="53" t="n"/>
    </row>
    <row r="712" ht="15.75" customHeight="1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  <c r="AA712" s="53" t="n"/>
      <c r="AB712" s="53" t="n"/>
      <c r="AC712" s="53" t="n"/>
      <c r="AD712" s="53" t="n"/>
      <c r="AE712" s="53" t="n"/>
      <c r="AF712" s="53" t="n"/>
      <c r="AG712" s="53" t="n"/>
      <c r="AH712" s="53" t="n"/>
    </row>
    <row r="713" ht="15.75" customHeight="1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  <c r="AA713" s="53" t="n"/>
      <c r="AB713" s="53" t="n"/>
      <c r="AC713" s="53" t="n"/>
      <c r="AD713" s="53" t="n"/>
      <c r="AE713" s="53" t="n"/>
      <c r="AF713" s="53" t="n"/>
      <c r="AG713" s="53" t="n"/>
      <c r="AH713" s="53" t="n"/>
    </row>
    <row r="714" ht="15.75" customHeight="1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  <c r="AA714" s="53" t="n"/>
      <c r="AB714" s="53" t="n"/>
      <c r="AC714" s="53" t="n"/>
      <c r="AD714" s="53" t="n"/>
      <c r="AE714" s="53" t="n"/>
      <c r="AF714" s="53" t="n"/>
      <c r="AG714" s="53" t="n"/>
      <c r="AH714" s="53" t="n"/>
    </row>
    <row r="715" ht="15.75" customHeight="1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  <c r="AA715" s="53" t="n"/>
      <c r="AB715" s="53" t="n"/>
      <c r="AC715" s="53" t="n"/>
      <c r="AD715" s="53" t="n"/>
      <c r="AE715" s="53" t="n"/>
      <c r="AF715" s="53" t="n"/>
      <c r="AG715" s="53" t="n"/>
      <c r="AH715" s="53" t="n"/>
    </row>
    <row r="716" ht="15.75" customHeight="1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  <c r="AA716" s="53" t="n"/>
      <c r="AB716" s="53" t="n"/>
      <c r="AC716" s="53" t="n"/>
      <c r="AD716" s="53" t="n"/>
      <c r="AE716" s="53" t="n"/>
      <c r="AF716" s="53" t="n"/>
      <c r="AG716" s="53" t="n"/>
      <c r="AH716" s="53" t="n"/>
    </row>
    <row r="717" ht="15.75" customHeight="1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  <c r="AA717" s="53" t="n"/>
      <c r="AB717" s="53" t="n"/>
      <c r="AC717" s="53" t="n"/>
      <c r="AD717" s="53" t="n"/>
      <c r="AE717" s="53" t="n"/>
      <c r="AF717" s="53" t="n"/>
      <c r="AG717" s="53" t="n"/>
      <c r="AH717" s="53" t="n"/>
    </row>
    <row r="718" ht="15.75" customHeight="1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  <c r="AA718" s="53" t="n"/>
      <c r="AB718" s="53" t="n"/>
      <c r="AC718" s="53" t="n"/>
      <c r="AD718" s="53" t="n"/>
      <c r="AE718" s="53" t="n"/>
      <c r="AF718" s="53" t="n"/>
      <c r="AG718" s="53" t="n"/>
      <c r="AH718" s="53" t="n"/>
    </row>
    <row r="719" ht="15.75" customHeight="1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  <c r="AA719" s="53" t="n"/>
      <c r="AB719" s="53" t="n"/>
      <c r="AC719" s="53" t="n"/>
      <c r="AD719" s="53" t="n"/>
      <c r="AE719" s="53" t="n"/>
      <c r="AF719" s="53" t="n"/>
      <c r="AG719" s="53" t="n"/>
      <c r="AH719" s="53" t="n"/>
    </row>
    <row r="720" ht="15.75" customHeight="1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  <c r="AA720" s="53" t="n"/>
      <c r="AB720" s="53" t="n"/>
      <c r="AC720" s="53" t="n"/>
      <c r="AD720" s="53" t="n"/>
      <c r="AE720" s="53" t="n"/>
      <c r="AF720" s="53" t="n"/>
      <c r="AG720" s="53" t="n"/>
      <c r="AH720" s="53" t="n"/>
    </row>
    <row r="721" ht="15.75" customHeight="1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  <c r="AA721" s="53" t="n"/>
      <c r="AB721" s="53" t="n"/>
      <c r="AC721" s="53" t="n"/>
      <c r="AD721" s="53" t="n"/>
      <c r="AE721" s="53" t="n"/>
      <c r="AF721" s="53" t="n"/>
      <c r="AG721" s="53" t="n"/>
      <c r="AH721" s="53" t="n"/>
    </row>
    <row r="722" ht="15.75" customHeight="1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  <c r="AA722" s="53" t="n"/>
      <c r="AB722" s="53" t="n"/>
      <c r="AC722" s="53" t="n"/>
      <c r="AD722" s="53" t="n"/>
      <c r="AE722" s="53" t="n"/>
      <c r="AF722" s="53" t="n"/>
      <c r="AG722" s="53" t="n"/>
      <c r="AH722" s="53" t="n"/>
    </row>
    <row r="723" ht="15.75" customHeight="1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  <c r="AA723" s="53" t="n"/>
      <c r="AB723" s="53" t="n"/>
      <c r="AC723" s="53" t="n"/>
      <c r="AD723" s="53" t="n"/>
      <c r="AE723" s="53" t="n"/>
      <c r="AF723" s="53" t="n"/>
      <c r="AG723" s="53" t="n"/>
      <c r="AH723" s="53" t="n"/>
    </row>
    <row r="724" ht="15.75" customHeight="1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  <c r="AA724" s="53" t="n"/>
      <c r="AB724" s="53" t="n"/>
      <c r="AC724" s="53" t="n"/>
      <c r="AD724" s="53" t="n"/>
      <c r="AE724" s="53" t="n"/>
      <c r="AF724" s="53" t="n"/>
      <c r="AG724" s="53" t="n"/>
      <c r="AH724" s="53" t="n"/>
    </row>
    <row r="725" ht="15.75" customHeight="1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  <c r="AA725" s="53" t="n"/>
      <c r="AB725" s="53" t="n"/>
      <c r="AC725" s="53" t="n"/>
      <c r="AD725" s="53" t="n"/>
      <c r="AE725" s="53" t="n"/>
      <c r="AF725" s="53" t="n"/>
      <c r="AG725" s="53" t="n"/>
      <c r="AH725" s="53" t="n"/>
    </row>
    <row r="726" ht="15.75" customHeight="1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  <c r="AA726" s="53" t="n"/>
      <c r="AB726" s="53" t="n"/>
      <c r="AC726" s="53" t="n"/>
      <c r="AD726" s="53" t="n"/>
      <c r="AE726" s="53" t="n"/>
      <c r="AF726" s="53" t="n"/>
      <c r="AG726" s="53" t="n"/>
      <c r="AH726" s="53" t="n"/>
    </row>
    <row r="727" ht="15.75" customHeight="1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  <c r="AA727" s="53" t="n"/>
      <c r="AB727" s="53" t="n"/>
      <c r="AC727" s="53" t="n"/>
      <c r="AD727" s="53" t="n"/>
      <c r="AE727" s="53" t="n"/>
      <c r="AF727" s="53" t="n"/>
      <c r="AG727" s="53" t="n"/>
      <c r="AH727" s="53" t="n"/>
    </row>
    <row r="728" ht="15.75" customHeight="1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  <c r="AA728" s="53" t="n"/>
      <c r="AB728" s="53" t="n"/>
      <c r="AC728" s="53" t="n"/>
      <c r="AD728" s="53" t="n"/>
      <c r="AE728" s="53" t="n"/>
      <c r="AF728" s="53" t="n"/>
      <c r="AG728" s="53" t="n"/>
      <c r="AH728" s="53" t="n"/>
    </row>
    <row r="729" ht="15.75" customHeight="1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  <c r="AA729" s="53" t="n"/>
      <c r="AB729" s="53" t="n"/>
      <c r="AC729" s="53" t="n"/>
      <c r="AD729" s="53" t="n"/>
      <c r="AE729" s="53" t="n"/>
      <c r="AF729" s="53" t="n"/>
      <c r="AG729" s="53" t="n"/>
      <c r="AH729" s="53" t="n"/>
    </row>
    <row r="730" ht="15.75" customHeight="1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  <c r="AA730" s="53" t="n"/>
      <c r="AB730" s="53" t="n"/>
      <c r="AC730" s="53" t="n"/>
      <c r="AD730" s="53" t="n"/>
      <c r="AE730" s="53" t="n"/>
      <c r="AF730" s="53" t="n"/>
      <c r="AG730" s="53" t="n"/>
      <c r="AH730" s="53" t="n"/>
    </row>
    <row r="731" ht="15.75" customHeight="1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  <c r="AA731" s="53" t="n"/>
      <c r="AB731" s="53" t="n"/>
      <c r="AC731" s="53" t="n"/>
      <c r="AD731" s="53" t="n"/>
      <c r="AE731" s="53" t="n"/>
      <c r="AF731" s="53" t="n"/>
      <c r="AG731" s="53" t="n"/>
      <c r="AH731" s="53" t="n"/>
    </row>
    <row r="732" ht="15.75" customHeight="1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  <c r="AA732" s="53" t="n"/>
      <c r="AB732" s="53" t="n"/>
      <c r="AC732" s="53" t="n"/>
      <c r="AD732" s="53" t="n"/>
      <c r="AE732" s="53" t="n"/>
      <c r="AF732" s="53" t="n"/>
      <c r="AG732" s="53" t="n"/>
      <c r="AH732" s="53" t="n"/>
    </row>
    <row r="733" ht="15.75" customHeight="1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  <c r="AA733" s="53" t="n"/>
      <c r="AB733" s="53" t="n"/>
      <c r="AC733" s="53" t="n"/>
      <c r="AD733" s="53" t="n"/>
      <c r="AE733" s="53" t="n"/>
      <c r="AF733" s="53" t="n"/>
      <c r="AG733" s="53" t="n"/>
      <c r="AH733" s="53" t="n"/>
    </row>
    <row r="734" ht="15.75" customHeight="1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  <c r="AA734" s="53" t="n"/>
      <c r="AB734" s="53" t="n"/>
      <c r="AC734" s="53" t="n"/>
      <c r="AD734" s="53" t="n"/>
      <c r="AE734" s="53" t="n"/>
      <c r="AF734" s="53" t="n"/>
      <c r="AG734" s="53" t="n"/>
      <c r="AH734" s="53" t="n"/>
    </row>
    <row r="735" ht="15.75" customHeight="1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  <c r="AA735" s="53" t="n"/>
      <c r="AB735" s="53" t="n"/>
      <c r="AC735" s="53" t="n"/>
      <c r="AD735" s="53" t="n"/>
      <c r="AE735" s="53" t="n"/>
      <c r="AF735" s="53" t="n"/>
      <c r="AG735" s="53" t="n"/>
      <c r="AH735" s="53" t="n"/>
    </row>
    <row r="736" ht="15.75" customHeight="1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  <c r="AA736" s="53" t="n"/>
      <c r="AB736" s="53" t="n"/>
      <c r="AC736" s="53" t="n"/>
      <c r="AD736" s="53" t="n"/>
      <c r="AE736" s="53" t="n"/>
      <c r="AF736" s="53" t="n"/>
      <c r="AG736" s="53" t="n"/>
      <c r="AH736" s="53" t="n"/>
    </row>
    <row r="737" ht="15.75" customHeight="1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  <c r="AA737" s="53" t="n"/>
      <c r="AB737" s="53" t="n"/>
      <c r="AC737" s="53" t="n"/>
      <c r="AD737" s="53" t="n"/>
      <c r="AE737" s="53" t="n"/>
      <c r="AF737" s="53" t="n"/>
      <c r="AG737" s="53" t="n"/>
      <c r="AH737" s="53" t="n"/>
    </row>
    <row r="738" ht="15.75" customHeight="1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  <c r="AA738" s="53" t="n"/>
      <c r="AB738" s="53" t="n"/>
      <c r="AC738" s="53" t="n"/>
      <c r="AD738" s="53" t="n"/>
      <c r="AE738" s="53" t="n"/>
      <c r="AF738" s="53" t="n"/>
      <c r="AG738" s="53" t="n"/>
      <c r="AH738" s="53" t="n"/>
    </row>
    <row r="739" ht="15.75" customHeight="1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  <c r="AA739" s="53" t="n"/>
      <c r="AB739" s="53" t="n"/>
      <c r="AC739" s="53" t="n"/>
      <c r="AD739" s="53" t="n"/>
      <c r="AE739" s="53" t="n"/>
      <c r="AF739" s="53" t="n"/>
      <c r="AG739" s="53" t="n"/>
      <c r="AH739" s="53" t="n"/>
    </row>
    <row r="740" ht="15.75" customHeight="1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  <c r="AA740" s="53" t="n"/>
      <c r="AB740" s="53" t="n"/>
      <c r="AC740" s="53" t="n"/>
      <c r="AD740" s="53" t="n"/>
      <c r="AE740" s="53" t="n"/>
      <c r="AF740" s="53" t="n"/>
      <c r="AG740" s="53" t="n"/>
      <c r="AH740" s="53" t="n"/>
    </row>
    <row r="741" ht="15.75" customHeight="1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  <c r="AA741" s="53" t="n"/>
      <c r="AB741" s="53" t="n"/>
      <c r="AC741" s="53" t="n"/>
      <c r="AD741" s="53" t="n"/>
      <c r="AE741" s="53" t="n"/>
      <c r="AF741" s="53" t="n"/>
      <c r="AG741" s="53" t="n"/>
      <c r="AH741" s="53" t="n"/>
    </row>
    <row r="742" ht="15.75" customHeight="1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  <c r="AA742" s="53" t="n"/>
      <c r="AB742" s="53" t="n"/>
      <c r="AC742" s="53" t="n"/>
      <c r="AD742" s="53" t="n"/>
      <c r="AE742" s="53" t="n"/>
      <c r="AF742" s="53" t="n"/>
      <c r="AG742" s="53" t="n"/>
      <c r="AH742" s="53" t="n"/>
    </row>
    <row r="743" ht="15.75" customHeight="1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  <c r="AA743" s="53" t="n"/>
      <c r="AB743" s="53" t="n"/>
      <c r="AC743" s="53" t="n"/>
      <c r="AD743" s="53" t="n"/>
      <c r="AE743" s="53" t="n"/>
      <c r="AF743" s="53" t="n"/>
      <c r="AG743" s="53" t="n"/>
      <c r="AH743" s="53" t="n"/>
    </row>
    <row r="744" ht="15.75" customHeight="1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  <c r="AA744" s="53" t="n"/>
      <c r="AB744" s="53" t="n"/>
      <c r="AC744" s="53" t="n"/>
      <c r="AD744" s="53" t="n"/>
      <c r="AE744" s="53" t="n"/>
      <c r="AF744" s="53" t="n"/>
      <c r="AG744" s="53" t="n"/>
      <c r="AH744" s="53" t="n"/>
    </row>
    <row r="745" ht="15.75" customHeight="1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  <c r="AA745" s="53" t="n"/>
      <c r="AB745" s="53" t="n"/>
      <c r="AC745" s="53" t="n"/>
      <c r="AD745" s="53" t="n"/>
      <c r="AE745" s="53" t="n"/>
      <c r="AF745" s="53" t="n"/>
      <c r="AG745" s="53" t="n"/>
      <c r="AH745" s="53" t="n"/>
    </row>
    <row r="746" ht="15.75" customHeight="1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  <c r="AA746" s="53" t="n"/>
      <c r="AB746" s="53" t="n"/>
      <c r="AC746" s="53" t="n"/>
      <c r="AD746" s="53" t="n"/>
      <c r="AE746" s="53" t="n"/>
      <c r="AF746" s="53" t="n"/>
      <c r="AG746" s="53" t="n"/>
      <c r="AH746" s="53" t="n"/>
    </row>
    <row r="747" ht="15.75" customHeight="1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  <c r="AA747" s="53" t="n"/>
      <c r="AB747" s="53" t="n"/>
      <c r="AC747" s="53" t="n"/>
      <c r="AD747" s="53" t="n"/>
      <c r="AE747" s="53" t="n"/>
      <c r="AF747" s="53" t="n"/>
      <c r="AG747" s="53" t="n"/>
      <c r="AH747" s="53" t="n"/>
    </row>
    <row r="748" ht="15.75" customHeight="1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  <c r="AA748" s="53" t="n"/>
      <c r="AB748" s="53" t="n"/>
      <c r="AC748" s="53" t="n"/>
      <c r="AD748" s="53" t="n"/>
      <c r="AE748" s="53" t="n"/>
      <c r="AF748" s="53" t="n"/>
      <c r="AG748" s="53" t="n"/>
      <c r="AH748" s="53" t="n"/>
    </row>
    <row r="749" ht="15.75" customHeight="1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  <c r="AA749" s="53" t="n"/>
      <c r="AB749" s="53" t="n"/>
      <c r="AC749" s="53" t="n"/>
      <c r="AD749" s="53" t="n"/>
      <c r="AE749" s="53" t="n"/>
      <c r="AF749" s="53" t="n"/>
      <c r="AG749" s="53" t="n"/>
      <c r="AH749" s="53" t="n"/>
    </row>
    <row r="750" ht="15.75" customHeight="1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  <c r="AA750" s="53" t="n"/>
      <c r="AB750" s="53" t="n"/>
      <c r="AC750" s="53" t="n"/>
      <c r="AD750" s="53" t="n"/>
      <c r="AE750" s="53" t="n"/>
      <c r="AF750" s="53" t="n"/>
      <c r="AG750" s="53" t="n"/>
      <c r="AH750" s="53" t="n"/>
    </row>
    <row r="751" ht="15.75" customHeight="1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  <c r="AA751" s="53" t="n"/>
      <c r="AB751" s="53" t="n"/>
      <c r="AC751" s="53" t="n"/>
      <c r="AD751" s="53" t="n"/>
      <c r="AE751" s="53" t="n"/>
      <c r="AF751" s="53" t="n"/>
      <c r="AG751" s="53" t="n"/>
      <c r="AH751" s="53" t="n"/>
    </row>
    <row r="752" ht="15.75" customHeight="1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  <c r="AA752" s="53" t="n"/>
      <c r="AB752" s="53" t="n"/>
      <c r="AC752" s="53" t="n"/>
      <c r="AD752" s="53" t="n"/>
      <c r="AE752" s="53" t="n"/>
      <c r="AF752" s="53" t="n"/>
      <c r="AG752" s="53" t="n"/>
      <c r="AH752" s="53" t="n"/>
    </row>
    <row r="753" ht="15.75" customHeight="1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  <c r="AA753" s="53" t="n"/>
      <c r="AB753" s="53" t="n"/>
      <c r="AC753" s="53" t="n"/>
      <c r="AD753" s="53" t="n"/>
      <c r="AE753" s="53" t="n"/>
      <c r="AF753" s="53" t="n"/>
      <c r="AG753" s="53" t="n"/>
      <c r="AH753" s="53" t="n"/>
    </row>
    <row r="754" ht="15.75" customHeight="1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  <c r="AA754" s="53" t="n"/>
      <c r="AB754" s="53" t="n"/>
      <c r="AC754" s="53" t="n"/>
      <c r="AD754" s="53" t="n"/>
      <c r="AE754" s="53" t="n"/>
      <c r="AF754" s="53" t="n"/>
      <c r="AG754" s="53" t="n"/>
      <c r="AH754" s="53" t="n"/>
    </row>
    <row r="755" ht="15.75" customHeight="1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  <c r="AA755" s="53" t="n"/>
      <c r="AB755" s="53" t="n"/>
      <c r="AC755" s="53" t="n"/>
      <c r="AD755" s="53" t="n"/>
      <c r="AE755" s="53" t="n"/>
      <c r="AF755" s="53" t="n"/>
      <c r="AG755" s="53" t="n"/>
      <c r="AH755" s="53" t="n"/>
    </row>
    <row r="756" ht="15.75" customHeight="1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  <c r="AA756" s="53" t="n"/>
      <c r="AB756" s="53" t="n"/>
      <c r="AC756" s="53" t="n"/>
      <c r="AD756" s="53" t="n"/>
      <c r="AE756" s="53" t="n"/>
      <c r="AF756" s="53" t="n"/>
      <c r="AG756" s="53" t="n"/>
      <c r="AH756" s="53" t="n"/>
    </row>
    <row r="757" ht="15.75" customHeight="1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  <c r="AA757" s="53" t="n"/>
      <c r="AB757" s="53" t="n"/>
      <c r="AC757" s="53" t="n"/>
      <c r="AD757" s="53" t="n"/>
      <c r="AE757" s="53" t="n"/>
      <c r="AF757" s="53" t="n"/>
      <c r="AG757" s="53" t="n"/>
      <c r="AH757" s="53" t="n"/>
    </row>
    <row r="758" ht="15.75" customHeight="1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  <c r="AA758" s="53" t="n"/>
      <c r="AB758" s="53" t="n"/>
      <c r="AC758" s="53" t="n"/>
      <c r="AD758" s="53" t="n"/>
      <c r="AE758" s="53" t="n"/>
      <c r="AF758" s="53" t="n"/>
      <c r="AG758" s="53" t="n"/>
      <c r="AH758" s="53" t="n"/>
    </row>
    <row r="759" ht="15.75" customHeight="1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  <c r="AA759" s="53" t="n"/>
      <c r="AB759" s="53" t="n"/>
      <c r="AC759" s="53" t="n"/>
      <c r="AD759" s="53" t="n"/>
      <c r="AE759" s="53" t="n"/>
      <c r="AF759" s="53" t="n"/>
      <c r="AG759" s="53" t="n"/>
      <c r="AH759" s="53" t="n"/>
    </row>
    <row r="760" ht="15.75" customHeight="1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  <c r="AA760" s="53" t="n"/>
      <c r="AB760" s="53" t="n"/>
      <c r="AC760" s="53" t="n"/>
      <c r="AD760" s="53" t="n"/>
      <c r="AE760" s="53" t="n"/>
      <c r="AF760" s="53" t="n"/>
      <c r="AG760" s="53" t="n"/>
      <c r="AH760" s="53" t="n"/>
    </row>
    <row r="761" ht="15.75" customHeight="1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  <c r="AA761" s="53" t="n"/>
      <c r="AB761" s="53" t="n"/>
      <c r="AC761" s="53" t="n"/>
      <c r="AD761" s="53" t="n"/>
      <c r="AE761" s="53" t="n"/>
      <c r="AF761" s="53" t="n"/>
      <c r="AG761" s="53" t="n"/>
      <c r="AH761" s="53" t="n"/>
    </row>
    <row r="762" ht="15.75" customHeight="1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  <c r="AA762" s="53" t="n"/>
      <c r="AB762" s="53" t="n"/>
      <c r="AC762" s="53" t="n"/>
      <c r="AD762" s="53" t="n"/>
      <c r="AE762" s="53" t="n"/>
      <c r="AF762" s="53" t="n"/>
      <c r="AG762" s="53" t="n"/>
      <c r="AH762" s="53" t="n"/>
    </row>
    <row r="763" ht="15.75" customHeight="1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  <c r="AA763" s="53" t="n"/>
      <c r="AB763" s="53" t="n"/>
      <c r="AC763" s="53" t="n"/>
      <c r="AD763" s="53" t="n"/>
      <c r="AE763" s="53" t="n"/>
      <c r="AF763" s="53" t="n"/>
      <c r="AG763" s="53" t="n"/>
      <c r="AH763" s="53" t="n"/>
    </row>
    <row r="764" ht="15.75" customHeight="1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  <c r="AA764" s="53" t="n"/>
      <c r="AB764" s="53" t="n"/>
      <c r="AC764" s="53" t="n"/>
      <c r="AD764" s="53" t="n"/>
      <c r="AE764" s="53" t="n"/>
      <c r="AF764" s="53" t="n"/>
      <c r="AG764" s="53" t="n"/>
      <c r="AH764" s="53" t="n"/>
    </row>
    <row r="765" ht="15.75" customHeight="1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  <c r="AA765" s="53" t="n"/>
      <c r="AB765" s="53" t="n"/>
      <c r="AC765" s="53" t="n"/>
      <c r="AD765" s="53" t="n"/>
      <c r="AE765" s="53" t="n"/>
      <c r="AF765" s="53" t="n"/>
      <c r="AG765" s="53" t="n"/>
      <c r="AH765" s="53" t="n"/>
    </row>
    <row r="766" ht="15.75" customHeight="1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  <c r="AA766" s="53" t="n"/>
      <c r="AB766" s="53" t="n"/>
      <c r="AC766" s="53" t="n"/>
      <c r="AD766" s="53" t="n"/>
      <c r="AE766" s="53" t="n"/>
      <c r="AF766" s="53" t="n"/>
      <c r="AG766" s="53" t="n"/>
      <c r="AH766" s="53" t="n"/>
    </row>
    <row r="767" ht="15.75" customHeight="1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  <c r="AA767" s="53" t="n"/>
      <c r="AB767" s="53" t="n"/>
      <c r="AC767" s="53" t="n"/>
      <c r="AD767" s="53" t="n"/>
      <c r="AE767" s="53" t="n"/>
      <c r="AF767" s="53" t="n"/>
      <c r="AG767" s="53" t="n"/>
      <c r="AH767" s="53" t="n"/>
    </row>
    <row r="768" ht="15.75" customHeight="1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  <c r="AA768" s="53" t="n"/>
      <c r="AB768" s="53" t="n"/>
      <c r="AC768" s="53" t="n"/>
      <c r="AD768" s="53" t="n"/>
      <c r="AE768" s="53" t="n"/>
      <c r="AF768" s="53" t="n"/>
      <c r="AG768" s="53" t="n"/>
      <c r="AH768" s="53" t="n"/>
    </row>
    <row r="769" ht="15.75" customHeight="1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  <c r="AA769" s="53" t="n"/>
      <c r="AB769" s="53" t="n"/>
      <c r="AC769" s="53" t="n"/>
      <c r="AD769" s="53" t="n"/>
      <c r="AE769" s="53" t="n"/>
      <c r="AF769" s="53" t="n"/>
      <c r="AG769" s="53" t="n"/>
      <c r="AH769" s="53" t="n"/>
    </row>
    <row r="770" ht="15.75" customHeight="1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  <c r="AA770" s="53" t="n"/>
      <c r="AB770" s="53" t="n"/>
      <c r="AC770" s="53" t="n"/>
      <c r="AD770" s="53" t="n"/>
      <c r="AE770" s="53" t="n"/>
      <c r="AF770" s="53" t="n"/>
      <c r="AG770" s="53" t="n"/>
      <c r="AH770" s="53" t="n"/>
    </row>
    <row r="771" ht="15.75" customHeight="1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  <c r="AA771" s="53" t="n"/>
      <c r="AB771" s="53" t="n"/>
      <c r="AC771" s="53" t="n"/>
      <c r="AD771" s="53" t="n"/>
      <c r="AE771" s="53" t="n"/>
      <c r="AF771" s="53" t="n"/>
      <c r="AG771" s="53" t="n"/>
      <c r="AH771" s="53" t="n"/>
    </row>
    <row r="772" ht="15.75" customHeight="1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  <c r="AA772" s="53" t="n"/>
      <c r="AB772" s="53" t="n"/>
      <c r="AC772" s="53" t="n"/>
      <c r="AD772" s="53" t="n"/>
      <c r="AE772" s="53" t="n"/>
      <c r="AF772" s="53" t="n"/>
      <c r="AG772" s="53" t="n"/>
      <c r="AH772" s="53" t="n"/>
    </row>
    <row r="773" ht="15.75" customHeight="1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  <c r="AA773" s="53" t="n"/>
      <c r="AB773" s="53" t="n"/>
      <c r="AC773" s="53" t="n"/>
      <c r="AD773" s="53" t="n"/>
      <c r="AE773" s="53" t="n"/>
      <c r="AF773" s="53" t="n"/>
      <c r="AG773" s="53" t="n"/>
      <c r="AH773" s="53" t="n"/>
    </row>
    <row r="774" ht="15.75" customHeight="1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  <c r="AA774" s="53" t="n"/>
      <c r="AB774" s="53" t="n"/>
      <c r="AC774" s="53" t="n"/>
      <c r="AD774" s="53" t="n"/>
      <c r="AE774" s="53" t="n"/>
      <c r="AF774" s="53" t="n"/>
      <c r="AG774" s="53" t="n"/>
      <c r="AH774" s="53" t="n"/>
    </row>
    <row r="775" ht="15.75" customHeight="1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  <c r="AA775" s="53" t="n"/>
      <c r="AB775" s="53" t="n"/>
      <c r="AC775" s="53" t="n"/>
      <c r="AD775" s="53" t="n"/>
      <c r="AE775" s="53" t="n"/>
      <c r="AF775" s="53" t="n"/>
      <c r="AG775" s="53" t="n"/>
      <c r="AH775" s="53" t="n"/>
    </row>
    <row r="776" ht="15.75" customHeight="1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  <c r="AA776" s="53" t="n"/>
      <c r="AB776" s="53" t="n"/>
      <c r="AC776" s="53" t="n"/>
      <c r="AD776" s="53" t="n"/>
      <c r="AE776" s="53" t="n"/>
      <c r="AF776" s="53" t="n"/>
      <c r="AG776" s="53" t="n"/>
      <c r="AH776" s="53" t="n"/>
    </row>
    <row r="777" ht="15.75" customHeight="1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  <c r="AA777" s="53" t="n"/>
      <c r="AB777" s="53" t="n"/>
      <c r="AC777" s="53" t="n"/>
      <c r="AD777" s="53" t="n"/>
      <c r="AE777" s="53" t="n"/>
      <c r="AF777" s="53" t="n"/>
      <c r="AG777" s="53" t="n"/>
      <c r="AH777" s="53" t="n"/>
    </row>
    <row r="778" ht="15.75" customHeight="1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  <c r="AA778" s="53" t="n"/>
      <c r="AB778" s="53" t="n"/>
      <c r="AC778" s="53" t="n"/>
      <c r="AD778" s="53" t="n"/>
      <c r="AE778" s="53" t="n"/>
      <c r="AF778" s="53" t="n"/>
      <c r="AG778" s="53" t="n"/>
      <c r="AH778" s="53" t="n"/>
    </row>
    <row r="779" ht="15.75" customHeight="1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  <c r="AA779" s="53" t="n"/>
      <c r="AB779" s="53" t="n"/>
      <c r="AC779" s="53" t="n"/>
      <c r="AD779" s="53" t="n"/>
      <c r="AE779" s="53" t="n"/>
      <c r="AF779" s="53" t="n"/>
      <c r="AG779" s="53" t="n"/>
      <c r="AH779" s="53" t="n"/>
    </row>
    <row r="780" ht="15.75" customHeight="1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  <c r="AA780" s="53" t="n"/>
      <c r="AB780" s="53" t="n"/>
      <c r="AC780" s="53" t="n"/>
      <c r="AD780" s="53" t="n"/>
      <c r="AE780" s="53" t="n"/>
      <c r="AF780" s="53" t="n"/>
      <c r="AG780" s="53" t="n"/>
      <c r="AH780" s="53" t="n"/>
    </row>
    <row r="781" ht="15.75" customHeight="1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  <c r="AA781" s="53" t="n"/>
      <c r="AB781" s="53" t="n"/>
      <c r="AC781" s="53" t="n"/>
      <c r="AD781" s="53" t="n"/>
      <c r="AE781" s="53" t="n"/>
      <c r="AF781" s="53" t="n"/>
      <c r="AG781" s="53" t="n"/>
      <c r="AH781" s="53" t="n"/>
    </row>
    <row r="782" ht="15.75" customHeight="1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  <c r="AA782" s="53" t="n"/>
      <c r="AB782" s="53" t="n"/>
      <c r="AC782" s="53" t="n"/>
      <c r="AD782" s="53" t="n"/>
      <c r="AE782" s="53" t="n"/>
      <c r="AF782" s="53" t="n"/>
      <c r="AG782" s="53" t="n"/>
      <c r="AH782" s="53" t="n"/>
    </row>
    <row r="783" ht="15.75" customHeight="1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  <c r="AA783" s="53" t="n"/>
      <c r="AB783" s="53" t="n"/>
      <c r="AC783" s="53" t="n"/>
      <c r="AD783" s="53" t="n"/>
      <c r="AE783" s="53" t="n"/>
      <c r="AF783" s="53" t="n"/>
      <c r="AG783" s="53" t="n"/>
      <c r="AH783" s="53" t="n"/>
    </row>
    <row r="784" ht="15.75" customHeight="1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  <c r="AA784" s="53" t="n"/>
      <c r="AB784" s="53" t="n"/>
      <c r="AC784" s="53" t="n"/>
      <c r="AD784" s="53" t="n"/>
      <c r="AE784" s="53" t="n"/>
      <c r="AF784" s="53" t="n"/>
      <c r="AG784" s="53" t="n"/>
      <c r="AH784" s="53" t="n"/>
    </row>
    <row r="785" ht="15.75" customHeight="1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  <c r="AA785" s="53" t="n"/>
      <c r="AB785" s="53" t="n"/>
      <c r="AC785" s="53" t="n"/>
      <c r="AD785" s="53" t="n"/>
      <c r="AE785" s="53" t="n"/>
      <c r="AF785" s="53" t="n"/>
      <c r="AG785" s="53" t="n"/>
      <c r="AH785" s="53" t="n"/>
    </row>
    <row r="786" ht="15.75" customHeight="1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  <c r="AA786" s="53" t="n"/>
      <c r="AB786" s="53" t="n"/>
      <c r="AC786" s="53" t="n"/>
      <c r="AD786" s="53" t="n"/>
      <c r="AE786" s="53" t="n"/>
      <c r="AF786" s="53" t="n"/>
      <c r="AG786" s="53" t="n"/>
      <c r="AH786" s="53" t="n"/>
    </row>
    <row r="787" ht="15.75" customHeight="1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  <c r="AA787" s="53" t="n"/>
      <c r="AB787" s="53" t="n"/>
      <c r="AC787" s="53" t="n"/>
      <c r="AD787" s="53" t="n"/>
      <c r="AE787" s="53" t="n"/>
      <c r="AF787" s="53" t="n"/>
      <c r="AG787" s="53" t="n"/>
      <c r="AH787" s="53" t="n"/>
    </row>
    <row r="788" ht="15.75" customHeight="1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  <c r="AA788" s="53" t="n"/>
      <c r="AB788" s="53" t="n"/>
      <c r="AC788" s="53" t="n"/>
      <c r="AD788" s="53" t="n"/>
      <c r="AE788" s="53" t="n"/>
      <c r="AF788" s="53" t="n"/>
      <c r="AG788" s="53" t="n"/>
      <c r="AH788" s="53" t="n"/>
    </row>
    <row r="789" ht="15.75" customHeight="1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  <c r="AA789" s="53" t="n"/>
      <c r="AB789" s="53" t="n"/>
      <c r="AC789" s="53" t="n"/>
      <c r="AD789" s="53" t="n"/>
      <c r="AE789" s="53" t="n"/>
      <c r="AF789" s="53" t="n"/>
      <c r="AG789" s="53" t="n"/>
      <c r="AH789" s="53" t="n"/>
    </row>
    <row r="790" ht="15.75" customHeight="1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  <c r="AA790" s="53" t="n"/>
      <c r="AB790" s="53" t="n"/>
      <c r="AC790" s="53" t="n"/>
      <c r="AD790" s="53" t="n"/>
      <c r="AE790" s="53" t="n"/>
      <c r="AF790" s="53" t="n"/>
      <c r="AG790" s="53" t="n"/>
      <c r="AH790" s="53" t="n"/>
    </row>
    <row r="791" ht="15.75" customHeight="1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  <c r="AA791" s="53" t="n"/>
      <c r="AB791" s="53" t="n"/>
      <c r="AC791" s="53" t="n"/>
      <c r="AD791" s="53" t="n"/>
      <c r="AE791" s="53" t="n"/>
      <c r="AF791" s="53" t="n"/>
      <c r="AG791" s="53" t="n"/>
      <c r="AH791" s="53" t="n"/>
    </row>
    <row r="792" ht="15.75" customHeight="1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  <c r="AA792" s="53" t="n"/>
      <c r="AB792" s="53" t="n"/>
      <c r="AC792" s="53" t="n"/>
      <c r="AD792" s="53" t="n"/>
      <c r="AE792" s="53" t="n"/>
      <c r="AF792" s="53" t="n"/>
      <c r="AG792" s="53" t="n"/>
      <c r="AH792" s="53" t="n"/>
    </row>
    <row r="793" ht="15.75" customHeight="1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  <c r="AA793" s="53" t="n"/>
      <c r="AB793" s="53" t="n"/>
      <c r="AC793" s="53" t="n"/>
      <c r="AD793" s="53" t="n"/>
      <c r="AE793" s="53" t="n"/>
      <c r="AF793" s="53" t="n"/>
      <c r="AG793" s="53" t="n"/>
      <c r="AH793" s="53" t="n"/>
    </row>
    <row r="794" ht="15.75" customHeight="1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  <c r="AA794" s="53" t="n"/>
      <c r="AB794" s="53" t="n"/>
      <c r="AC794" s="53" t="n"/>
      <c r="AD794" s="53" t="n"/>
      <c r="AE794" s="53" t="n"/>
      <c r="AF794" s="53" t="n"/>
      <c r="AG794" s="53" t="n"/>
      <c r="AH794" s="53" t="n"/>
    </row>
    <row r="795" ht="15.75" customHeight="1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  <c r="AA795" s="53" t="n"/>
      <c r="AB795" s="53" t="n"/>
      <c r="AC795" s="53" t="n"/>
      <c r="AD795" s="53" t="n"/>
      <c r="AE795" s="53" t="n"/>
      <c r="AF795" s="53" t="n"/>
      <c r="AG795" s="53" t="n"/>
      <c r="AH795" s="53" t="n"/>
    </row>
    <row r="796" ht="15.75" customHeight="1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  <c r="AA796" s="53" t="n"/>
      <c r="AB796" s="53" t="n"/>
      <c r="AC796" s="53" t="n"/>
      <c r="AD796" s="53" t="n"/>
      <c r="AE796" s="53" t="n"/>
      <c r="AF796" s="53" t="n"/>
      <c r="AG796" s="53" t="n"/>
      <c r="AH796" s="53" t="n"/>
    </row>
    <row r="797" ht="15.75" customHeight="1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  <c r="AA797" s="53" t="n"/>
      <c r="AB797" s="53" t="n"/>
      <c r="AC797" s="53" t="n"/>
      <c r="AD797" s="53" t="n"/>
      <c r="AE797" s="53" t="n"/>
      <c r="AF797" s="53" t="n"/>
      <c r="AG797" s="53" t="n"/>
      <c r="AH797" s="53" t="n"/>
    </row>
    <row r="798" ht="15.75" customHeight="1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  <c r="AA798" s="53" t="n"/>
      <c r="AB798" s="53" t="n"/>
      <c r="AC798" s="53" t="n"/>
      <c r="AD798" s="53" t="n"/>
      <c r="AE798" s="53" t="n"/>
      <c r="AF798" s="53" t="n"/>
      <c r="AG798" s="53" t="n"/>
      <c r="AH798" s="53" t="n"/>
    </row>
    <row r="799" ht="15.75" customHeight="1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  <c r="AA799" s="53" t="n"/>
      <c r="AB799" s="53" t="n"/>
      <c r="AC799" s="53" t="n"/>
      <c r="AD799" s="53" t="n"/>
      <c r="AE799" s="53" t="n"/>
      <c r="AF799" s="53" t="n"/>
      <c r="AG799" s="53" t="n"/>
      <c r="AH799" s="53" t="n"/>
    </row>
    <row r="800" ht="15.75" customHeight="1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  <c r="AA800" s="53" t="n"/>
      <c r="AB800" s="53" t="n"/>
      <c r="AC800" s="53" t="n"/>
      <c r="AD800" s="53" t="n"/>
      <c r="AE800" s="53" t="n"/>
      <c r="AF800" s="53" t="n"/>
      <c r="AG800" s="53" t="n"/>
      <c r="AH800" s="53" t="n"/>
    </row>
    <row r="801" ht="15.75" customHeight="1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  <c r="AA801" s="53" t="n"/>
      <c r="AB801" s="53" t="n"/>
      <c r="AC801" s="53" t="n"/>
      <c r="AD801" s="53" t="n"/>
      <c r="AE801" s="53" t="n"/>
      <c r="AF801" s="53" t="n"/>
      <c r="AG801" s="53" t="n"/>
      <c r="AH801" s="53" t="n"/>
    </row>
    <row r="802" ht="15.75" customHeight="1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  <c r="AA802" s="53" t="n"/>
      <c r="AB802" s="53" t="n"/>
      <c r="AC802" s="53" t="n"/>
      <c r="AD802" s="53" t="n"/>
      <c r="AE802" s="53" t="n"/>
      <c r="AF802" s="53" t="n"/>
      <c r="AG802" s="53" t="n"/>
      <c r="AH802" s="53" t="n"/>
    </row>
    <row r="803" ht="15.75" customHeight="1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  <c r="AA803" s="53" t="n"/>
      <c r="AB803" s="53" t="n"/>
      <c r="AC803" s="53" t="n"/>
      <c r="AD803" s="53" t="n"/>
      <c r="AE803" s="53" t="n"/>
      <c r="AF803" s="53" t="n"/>
      <c r="AG803" s="53" t="n"/>
      <c r="AH803" s="53" t="n"/>
    </row>
    <row r="804" ht="15.75" customHeight="1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  <c r="AA804" s="53" t="n"/>
      <c r="AB804" s="53" t="n"/>
      <c r="AC804" s="53" t="n"/>
      <c r="AD804" s="53" t="n"/>
      <c r="AE804" s="53" t="n"/>
      <c r="AF804" s="53" t="n"/>
      <c r="AG804" s="53" t="n"/>
      <c r="AH804" s="53" t="n"/>
    </row>
    <row r="805" ht="15.75" customHeight="1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  <c r="AA805" s="53" t="n"/>
      <c r="AB805" s="53" t="n"/>
      <c r="AC805" s="53" t="n"/>
      <c r="AD805" s="53" t="n"/>
      <c r="AE805" s="53" t="n"/>
      <c r="AF805" s="53" t="n"/>
      <c r="AG805" s="53" t="n"/>
      <c r="AH805" s="53" t="n"/>
    </row>
    <row r="806" ht="15.75" customHeight="1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  <c r="AA806" s="53" t="n"/>
      <c r="AB806" s="53" t="n"/>
      <c r="AC806" s="53" t="n"/>
      <c r="AD806" s="53" t="n"/>
      <c r="AE806" s="53" t="n"/>
      <c r="AF806" s="53" t="n"/>
      <c r="AG806" s="53" t="n"/>
      <c r="AH806" s="53" t="n"/>
    </row>
    <row r="807" ht="15.75" customHeight="1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  <c r="AA807" s="53" t="n"/>
      <c r="AB807" s="53" t="n"/>
      <c r="AC807" s="53" t="n"/>
      <c r="AD807" s="53" t="n"/>
      <c r="AE807" s="53" t="n"/>
      <c r="AF807" s="53" t="n"/>
      <c r="AG807" s="53" t="n"/>
      <c r="AH807" s="53" t="n"/>
    </row>
    <row r="808" ht="15.75" customHeight="1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  <c r="AA808" s="53" t="n"/>
      <c r="AB808" s="53" t="n"/>
      <c r="AC808" s="53" t="n"/>
      <c r="AD808" s="53" t="n"/>
      <c r="AE808" s="53" t="n"/>
      <c r="AF808" s="53" t="n"/>
      <c r="AG808" s="53" t="n"/>
      <c r="AH808" s="53" t="n"/>
    </row>
    <row r="809" ht="15.75" customHeight="1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  <c r="AA809" s="53" t="n"/>
      <c r="AB809" s="53" t="n"/>
      <c r="AC809" s="53" t="n"/>
      <c r="AD809" s="53" t="n"/>
      <c r="AE809" s="53" t="n"/>
      <c r="AF809" s="53" t="n"/>
      <c r="AG809" s="53" t="n"/>
      <c r="AH809" s="53" t="n"/>
    </row>
    <row r="810" ht="15.75" customHeight="1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  <c r="AA810" s="53" t="n"/>
      <c r="AB810" s="53" t="n"/>
      <c r="AC810" s="53" t="n"/>
      <c r="AD810" s="53" t="n"/>
      <c r="AE810" s="53" t="n"/>
      <c r="AF810" s="53" t="n"/>
      <c r="AG810" s="53" t="n"/>
      <c r="AH810" s="53" t="n"/>
    </row>
    <row r="811" ht="15.75" customHeight="1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  <c r="AA811" s="53" t="n"/>
      <c r="AB811" s="53" t="n"/>
      <c r="AC811" s="53" t="n"/>
      <c r="AD811" s="53" t="n"/>
      <c r="AE811" s="53" t="n"/>
      <c r="AF811" s="53" t="n"/>
      <c r="AG811" s="53" t="n"/>
      <c r="AH811" s="53" t="n"/>
    </row>
    <row r="812" ht="15.75" customHeight="1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  <c r="AA812" s="53" t="n"/>
      <c r="AB812" s="53" t="n"/>
      <c r="AC812" s="53" t="n"/>
      <c r="AD812" s="53" t="n"/>
      <c r="AE812" s="53" t="n"/>
      <c r="AF812" s="53" t="n"/>
      <c r="AG812" s="53" t="n"/>
      <c r="AH812" s="53" t="n"/>
    </row>
    <row r="813" ht="15.75" customHeight="1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  <c r="AA813" s="53" t="n"/>
      <c r="AB813" s="53" t="n"/>
      <c r="AC813" s="53" t="n"/>
      <c r="AD813" s="53" t="n"/>
      <c r="AE813" s="53" t="n"/>
      <c r="AF813" s="53" t="n"/>
      <c r="AG813" s="53" t="n"/>
      <c r="AH813" s="53" t="n"/>
    </row>
    <row r="814" ht="15.75" customHeight="1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  <c r="AA814" s="53" t="n"/>
      <c r="AB814" s="53" t="n"/>
      <c r="AC814" s="53" t="n"/>
      <c r="AD814" s="53" t="n"/>
      <c r="AE814" s="53" t="n"/>
      <c r="AF814" s="53" t="n"/>
      <c r="AG814" s="53" t="n"/>
      <c r="AH814" s="53" t="n"/>
    </row>
    <row r="815" ht="15.75" customHeight="1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  <c r="AA815" s="53" t="n"/>
      <c r="AB815" s="53" t="n"/>
      <c r="AC815" s="53" t="n"/>
      <c r="AD815" s="53" t="n"/>
      <c r="AE815" s="53" t="n"/>
      <c r="AF815" s="53" t="n"/>
      <c r="AG815" s="53" t="n"/>
      <c r="AH815" s="53" t="n"/>
    </row>
    <row r="816" ht="15.75" customHeight="1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  <c r="AA816" s="53" t="n"/>
      <c r="AB816" s="53" t="n"/>
      <c r="AC816" s="53" t="n"/>
      <c r="AD816" s="53" t="n"/>
      <c r="AE816" s="53" t="n"/>
      <c r="AF816" s="53" t="n"/>
      <c r="AG816" s="53" t="n"/>
      <c r="AH816" s="53" t="n"/>
    </row>
    <row r="817" ht="15.75" customHeight="1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  <c r="AA817" s="53" t="n"/>
      <c r="AB817" s="53" t="n"/>
      <c r="AC817" s="53" t="n"/>
      <c r="AD817" s="53" t="n"/>
      <c r="AE817" s="53" t="n"/>
      <c r="AF817" s="53" t="n"/>
      <c r="AG817" s="53" t="n"/>
      <c r="AH817" s="53" t="n"/>
    </row>
    <row r="818" ht="15.75" customHeight="1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  <c r="AA818" s="53" t="n"/>
      <c r="AB818" s="53" t="n"/>
      <c r="AC818" s="53" t="n"/>
      <c r="AD818" s="53" t="n"/>
      <c r="AE818" s="53" t="n"/>
      <c r="AF818" s="53" t="n"/>
      <c r="AG818" s="53" t="n"/>
      <c r="AH818" s="53" t="n"/>
    </row>
    <row r="819" ht="15.75" customHeight="1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  <c r="AA819" s="53" t="n"/>
      <c r="AB819" s="53" t="n"/>
      <c r="AC819" s="53" t="n"/>
      <c r="AD819" s="53" t="n"/>
      <c r="AE819" s="53" t="n"/>
      <c r="AF819" s="53" t="n"/>
      <c r="AG819" s="53" t="n"/>
      <c r="AH819" s="53" t="n"/>
    </row>
    <row r="820" ht="15.75" customHeight="1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  <c r="AA820" s="53" t="n"/>
      <c r="AB820" s="53" t="n"/>
      <c r="AC820" s="53" t="n"/>
      <c r="AD820" s="53" t="n"/>
      <c r="AE820" s="53" t="n"/>
      <c r="AF820" s="53" t="n"/>
      <c r="AG820" s="53" t="n"/>
      <c r="AH820" s="53" t="n"/>
    </row>
    <row r="821" ht="15.75" customHeight="1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  <c r="AA821" s="53" t="n"/>
      <c r="AB821" s="53" t="n"/>
      <c r="AC821" s="53" t="n"/>
      <c r="AD821" s="53" t="n"/>
      <c r="AE821" s="53" t="n"/>
      <c r="AF821" s="53" t="n"/>
      <c r="AG821" s="53" t="n"/>
      <c r="AH821" s="53" t="n"/>
    </row>
    <row r="822" ht="15.75" customHeight="1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  <c r="AA822" s="53" t="n"/>
      <c r="AB822" s="53" t="n"/>
      <c r="AC822" s="53" t="n"/>
      <c r="AD822" s="53" t="n"/>
      <c r="AE822" s="53" t="n"/>
      <c r="AF822" s="53" t="n"/>
      <c r="AG822" s="53" t="n"/>
      <c r="AH822" s="53" t="n"/>
    </row>
    <row r="823" ht="15.75" customHeight="1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  <c r="AA823" s="53" t="n"/>
      <c r="AB823" s="53" t="n"/>
      <c r="AC823" s="53" t="n"/>
      <c r="AD823" s="53" t="n"/>
      <c r="AE823" s="53" t="n"/>
      <c r="AF823" s="53" t="n"/>
      <c r="AG823" s="53" t="n"/>
      <c r="AH823" s="53" t="n"/>
    </row>
    <row r="824" ht="15.75" customHeight="1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  <c r="AA824" s="53" t="n"/>
      <c r="AB824" s="53" t="n"/>
      <c r="AC824" s="53" t="n"/>
      <c r="AD824" s="53" t="n"/>
      <c r="AE824" s="53" t="n"/>
      <c r="AF824" s="53" t="n"/>
      <c r="AG824" s="53" t="n"/>
      <c r="AH824" s="53" t="n"/>
    </row>
    <row r="825" ht="15.75" customHeight="1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  <c r="AA825" s="53" t="n"/>
      <c r="AB825" s="53" t="n"/>
      <c r="AC825" s="53" t="n"/>
      <c r="AD825" s="53" t="n"/>
      <c r="AE825" s="53" t="n"/>
      <c r="AF825" s="53" t="n"/>
      <c r="AG825" s="53" t="n"/>
      <c r="AH825" s="53" t="n"/>
    </row>
    <row r="826" ht="15.75" customHeight="1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  <c r="AA826" s="53" t="n"/>
      <c r="AB826" s="53" t="n"/>
      <c r="AC826" s="53" t="n"/>
      <c r="AD826" s="53" t="n"/>
      <c r="AE826" s="53" t="n"/>
      <c r="AF826" s="53" t="n"/>
      <c r="AG826" s="53" t="n"/>
      <c r="AH826" s="53" t="n"/>
    </row>
    <row r="827" ht="15.75" customHeight="1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  <c r="AA827" s="53" t="n"/>
      <c r="AB827" s="53" t="n"/>
      <c r="AC827" s="53" t="n"/>
      <c r="AD827" s="53" t="n"/>
      <c r="AE827" s="53" t="n"/>
      <c r="AF827" s="53" t="n"/>
      <c r="AG827" s="53" t="n"/>
      <c r="AH827" s="53" t="n"/>
    </row>
    <row r="828" ht="15.75" customHeight="1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  <c r="AA828" s="53" t="n"/>
      <c r="AB828" s="53" t="n"/>
      <c r="AC828" s="53" t="n"/>
      <c r="AD828" s="53" t="n"/>
      <c r="AE828" s="53" t="n"/>
      <c r="AF828" s="53" t="n"/>
      <c r="AG828" s="53" t="n"/>
      <c r="AH828" s="53" t="n"/>
    </row>
    <row r="829" ht="15.75" customHeight="1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  <c r="AA829" s="53" t="n"/>
      <c r="AB829" s="53" t="n"/>
      <c r="AC829" s="53" t="n"/>
      <c r="AD829" s="53" t="n"/>
      <c r="AE829" s="53" t="n"/>
      <c r="AF829" s="53" t="n"/>
      <c r="AG829" s="53" t="n"/>
      <c r="AH829" s="53" t="n"/>
    </row>
    <row r="830" ht="15.75" customHeight="1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  <c r="AA830" s="53" t="n"/>
      <c r="AB830" s="53" t="n"/>
      <c r="AC830" s="53" t="n"/>
      <c r="AD830" s="53" t="n"/>
      <c r="AE830" s="53" t="n"/>
      <c r="AF830" s="53" t="n"/>
      <c r="AG830" s="53" t="n"/>
      <c r="AH830" s="53" t="n"/>
    </row>
    <row r="831" ht="15.75" customHeight="1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  <c r="AA831" s="53" t="n"/>
      <c r="AB831" s="53" t="n"/>
      <c r="AC831" s="53" t="n"/>
      <c r="AD831" s="53" t="n"/>
      <c r="AE831" s="53" t="n"/>
      <c r="AF831" s="53" t="n"/>
      <c r="AG831" s="53" t="n"/>
      <c r="AH831" s="53" t="n"/>
    </row>
    <row r="832" ht="15.75" customHeight="1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  <c r="AA832" s="53" t="n"/>
      <c r="AB832" s="53" t="n"/>
      <c r="AC832" s="53" t="n"/>
      <c r="AD832" s="53" t="n"/>
      <c r="AE832" s="53" t="n"/>
      <c r="AF832" s="53" t="n"/>
      <c r="AG832" s="53" t="n"/>
      <c r="AH832" s="53" t="n"/>
    </row>
    <row r="833" ht="15.75" customHeight="1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  <c r="AA833" s="53" t="n"/>
      <c r="AB833" s="53" t="n"/>
      <c r="AC833" s="53" t="n"/>
      <c r="AD833" s="53" t="n"/>
      <c r="AE833" s="53" t="n"/>
      <c r="AF833" s="53" t="n"/>
      <c r="AG833" s="53" t="n"/>
      <c r="AH833" s="53" t="n"/>
    </row>
    <row r="834" ht="15.75" customHeight="1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  <c r="AA834" s="53" t="n"/>
      <c r="AB834" s="53" t="n"/>
      <c r="AC834" s="53" t="n"/>
      <c r="AD834" s="53" t="n"/>
      <c r="AE834" s="53" t="n"/>
      <c r="AF834" s="53" t="n"/>
      <c r="AG834" s="53" t="n"/>
      <c r="AH834" s="53" t="n"/>
    </row>
    <row r="835" ht="15.75" customHeight="1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  <c r="AA835" s="53" t="n"/>
      <c r="AB835" s="53" t="n"/>
      <c r="AC835" s="53" t="n"/>
      <c r="AD835" s="53" t="n"/>
      <c r="AE835" s="53" t="n"/>
      <c r="AF835" s="53" t="n"/>
      <c r="AG835" s="53" t="n"/>
      <c r="AH835" s="53" t="n"/>
    </row>
    <row r="836" ht="15.75" customHeight="1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  <c r="AA836" s="53" t="n"/>
      <c r="AB836" s="53" t="n"/>
      <c r="AC836" s="53" t="n"/>
      <c r="AD836" s="53" t="n"/>
      <c r="AE836" s="53" t="n"/>
      <c r="AF836" s="53" t="n"/>
      <c r="AG836" s="53" t="n"/>
      <c r="AH836" s="53" t="n"/>
    </row>
    <row r="837" ht="15.75" customHeight="1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  <c r="AA837" s="53" t="n"/>
      <c r="AB837" s="53" t="n"/>
      <c r="AC837" s="53" t="n"/>
      <c r="AD837" s="53" t="n"/>
      <c r="AE837" s="53" t="n"/>
      <c r="AF837" s="53" t="n"/>
      <c r="AG837" s="53" t="n"/>
      <c r="AH837" s="53" t="n"/>
    </row>
    <row r="838" ht="15.75" customHeight="1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  <c r="AA838" s="53" t="n"/>
      <c r="AB838" s="53" t="n"/>
      <c r="AC838" s="53" t="n"/>
      <c r="AD838" s="53" t="n"/>
      <c r="AE838" s="53" t="n"/>
      <c r="AF838" s="53" t="n"/>
      <c r="AG838" s="53" t="n"/>
      <c r="AH838" s="53" t="n"/>
    </row>
    <row r="839" ht="15.75" customHeight="1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  <c r="AA839" s="53" t="n"/>
      <c r="AB839" s="53" t="n"/>
      <c r="AC839" s="53" t="n"/>
      <c r="AD839" s="53" t="n"/>
      <c r="AE839" s="53" t="n"/>
      <c r="AF839" s="53" t="n"/>
      <c r="AG839" s="53" t="n"/>
      <c r="AH839" s="53" t="n"/>
    </row>
    <row r="840" ht="15.75" customHeight="1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  <c r="AA840" s="53" t="n"/>
      <c r="AB840" s="53" t="n"/>
      <c r="AC840" s="53" t="n"/>
      <c r="AD840" s="53" t="n"/>
      <c r="AE840" s="53" t="n"/>
      <c r="AF840" s="53" t="n"/>
      <c r="AG840" s="53" t="n"/>
      <c r="AH840" s="53" t="n"/>
    </row>
    <row r="841" ht="15.75" customHeight="1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  <c r="AA841" s="53" t="n"/>
      <c r="AB841" s="53" t="n"/>
      <c r="AC841" s="53" t="n"/>
      <c r="AD841" s="53" t="n"/>
      <c r="AE841" s="53" t="n"/>
      <c r="AF841" s="53" t="n"/>
      <c r="AG841" s="53" t="n"/>
      <c r="AH841" s="53" t="n"/>
    </row>
    <row r="842" ht="15.75" customHeight="1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  <c r="AA842" s="53" t="n"/>
      <c r="AB842" s="53" t="n"/>
      <c r="AC842" s="53" t="n"/>
      <c r="AD842" s="53" t="n"/>
      <c r="AE842" s="53" t="n"/>
      <c r="AF842" s="53" t="n"/>
      <c r="AG842" s="53" t="n"/>
      <c r="AH842" s="53" t="n"/>
    </row>
    <row r="843" ht="15.75" customHeight="1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  <c r="AA843" s="53" t="n"/>
      <c r="AB843" s="53" t="n"/>
      <c r="AC843" s="53" t="n"/>
      <c r="AD843" s="53" t="n"/>
      <c r="AE843" s="53" t="n"/>
      <c r="AF843" s="53" t="n"/>
      <c r="AG843" s="53" t="n"/>
      <c r="AH843" s="53" t="n"/>
    </row>
    <row r="844" ht="15.75" customHeight="1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  <c r="AA844" s="53" t="n"/>
      <c r="AB844" s="53" t="n"/>
      <c r="AC844" s="53" t="n"/>
      <c r="AD844" s="53" t="n"/>
      <c r="AE844" s="53" t="n"/>
      <c r="AF844" s="53" t="n"/>
      <c r="AG844" s="53" t="n"/>
      <c r="AH844" s="53" t="n"/>
    </row>
    <row r="845" ht="15.75" customHeight="1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  <c r="AA845" s="53" t="n"/>
      <c r="AB845" s="53" t="n"/>
      <c r="AC845" s="53" t="n"/>
      <c r="AD845" s="53" t="n"/>
      <c r="AE845" s="53" t="n"/>
      <c r="AF845" s="53" t="n"/>
      <c r="AG845" s="53" t="n"/>
      <c r="AH845" s="53" t="n"/>
    </row>
    <row r="846" ht="15.75" customHeight="1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  <c r="AA846" s="53" t="n"/>
      <c r="AB846" s="53" t="n"/>
      <c r="AC846" s="53" t="n"/>
      <c r="AD846" s="53" t="n"/>
      <c r="AE846" s="53" t="n"/>
      <c r="AF846" s="53" t="n"/>
      <c r="AG846" s="53" t="n"/>
      <c r="AH846" s="53" t="n"/>
    </row>
    <row r="847" ht="15.75" customHeight="1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  <c r="AA847" s="53" t="n"/>
      <c r="AB847" s="53" t="n"/>
      <c r="AC847" s="53" t="n"/>
      <c r="AD847" s="53" t="n"/>
      <c r="AE847" s="53" t="n"/>
      <c r="AF847" s="53" t="n"/>
      <c r="AG847" s="53" t="n"/>
      <c r="AH847" s="53" t="n"/>
    </row>
    <row r="848" ht="15.75" customHeight="1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  <c r="AA848" s="53" t="n"/>
      <c r="AB848" s="53" t="n"/>
      <c r="AC848" s="53" t="n"/>
      <c r="AD848" s="53" t="n"/>
      <c r="AE848" s="53" t="n"/>
      <c r="AF848" s="53" t="n"/>
      <c r="AG848" s="53" t="n"/>
      <c r="AH848" s="53" t="n"/>
    </row>
    <row r="849" ht="15.75" customHeight="1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  <c r="AA849" s="53" t="n"/>
      <c r="AB849" s="53" t="n"/>
      <c r="AC849" s="53" t="n"/>
      <c r="AD849" s="53" t="n"/>
      <c r="AE849" s="53" t="n"/>
      <c r="AF849" s="53" t="n"/>
      <c r="AG849" s="53" t="n"/>
      <c r="AH849" s="53" t="n"/>
    </row>
    <row r="850" ht="15.75" customHeight="1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  <c r="AA850" s="53" t="n"/>
      <c r="AB850" s="53" t="n"/>
      <c r="AC850" s="53" t="n"/>
      <c r="AD850" s="53" t="n"/>
      <c r="AE850" s="53" t="n"/>
      <c r="AF850" s="53" t="n"/>
      <c r="AG850" s="53" t="n"/>
      <c r="AH850" s="53" t="n"/>
    </row>
    <row r="851" ht="15.75" customHeight="1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  <c r="AA851" s="53" t="n"/>
      <c r="AB851" s="53" t="n"/>
      <c r="AC851" s="53" t="n"/>
      <c r="AD851" s="53" t="n"/>
      <c r="AE851" s="53" t="n"/>
      <c r="AF851" s="53" t="n"/>
      <c r="AG851" s="53" t="n"/>
      <c r="AH851" s="53" t="n"/>
    </row>
    <row r="852" ht="15.75" customHeight="1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  <c r="AA852" s="53" t="n"/>
      <c r="AB852" s="53" t="n"/>
      <c r="AC852" s="53" t="n"/>
      <c r="AD852" s="53" t="n"/>
      <c r="AE852" s="53" t="n"/>
      <c r="AF852" s="53" t="n"/>
      <c r="AG852" s="53" t="n"/>
      <c r="AH852" s="53" t="n"/>
    </row>
    <row r="853" ht="15.75" customHeight="1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  <c r="AA853" s="53" t="n"/>
      <c r="AB853" s="53" t="n"/>
      <c r="AC853" s="53" t="n"/>
      <c r="AD853" s="53" t="n"/>
      <c r="AE853" s="53" t="n"/>
      <c r="AF853" s="53" t="n"/>
      <c r="AG853" s="53" t="n"/>
      <c r="AH853" s="53" t="n"/>
    </row>
    <row r="854" ht="15.75" customHeight="1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  <c r="AA854" s="53" t="n"/>
      <c r="AB854" s="53" t="n"/>
      <c r="AC854" s="53" t="n"/>
      <c r="AD854" s="53" t="n"/>
      <c r="AE854" s="53" t="n"/>
      <c r="AF854" s="53" t="n"/>
      <c r="AG854" s="53" t="n"/>
      <c r="AH854" s="53" t="n"/>
    </row>
    <row r="855" ht="15.75" customHeight="1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  <c r="AA855" s="53" t="n"/>
      <c r="AB855" s="53" t="n"/>
      <c r="AC855" s="53" t="n"/>
      <c r="AD855" s="53" t="n"/>
      <c r="AE855" s="53" t="n"/>
      <c r="AF855" s="53" t="n"/>
      <c r="AG855" s="53" t="n"/>
      <c r="AH855" s="53" t="n"/>
    </row>
    <row r="856" ht="15.75" customHeight="1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  <c r="AA856" s="53" t="n"/>
      <c r="AB856" s="53" t="n"/>
      <c r="AC856" s="53" t="n"/>
      <c r="AD856" s="53" t="n"/>
      <c r="AE856" s="53" t="n"/>
      <c r="AF856" s="53" t="n"/>
      <c r="AG856" s="53" t="n"/>
      <c r="AH856" s="53" t="n"/>
    </row>
    <row r="857" ht="15.75" customHeight="1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  <c r="AA857" s="53" t="n"/>
      <c r="AB857" s="53" t="n"/>
      <c r="AC857" s="53" t="n"/>
      <c r="AD857" s="53" t="n"/>
      <c r="AE857" s="53" t="n"/>
      <c r="AF857" s="53" t="n"/>
      <c r="AG857" s="53" t="n"/>
      <c r="AH857" s="53" t="n"/>
    </row>
    <row r="858" ht="15.75" customHeight="1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  <c r="AA858" s="53" t="n"/>
      <c r="AB858" s="53" t="n"/>
      <c r="AC858" s="53" t="n"/>
      <c r="AD858" s="53" t="n"/>
      <c r="AE858" s="53" t="n"/>
      <c r="AF858" s="53" t="n"/>
      <c r="AG858" s="53" t="n"/>
      <c r="AH858" s="53" t="n"/>
    </row>
    <row r="859" ht="15.75" customHeight="1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  <c r="AA859" s="53" t="n"/>
      <c r="AB859" s="53" t="n"/>
      <c r="AC859" s="53" t="n"/>
      <c r="AD859" s="53" t="n"/>
      <c r="AE859" s="53" t="n"/>
      <c r="AF859" s="53" t="n"/>
      <c r="AG859" s="53" t="n"/>
      <c r="AH859" s="53" t="n"/>
    </row>
    <row r="860" ht="15.75" customHeight="1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  <c r="AA860" s="53" t="n"/>
      <c r="AB860" s="53" t="n"/>
      <c r="AC860" s="53" t="n"/>
      <c r="AD860" s="53" t="n"/>
      <c r="AE860" s="53" t="n"/>
      <c r="AF860" s="53" t="n"/>
      <c r="AG860" s="53" t="n"/>
      <c r="AH860" s="53" t="n"/>
    </row>
    <row r="861" ht="15.75" customHeight="1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  <c r="AA861" s="53" t="n"/>
      <c r="AB861" s="53" t="n"/>
      <c r="AC861" s="53" t="n"/>
      <c r="AD861" s="53" t="n"/>
      <c r="AE861" s="53" t="n"/>
      <c r="AF861" s="53" t="n"/>
      <c r="AG861" s="53" t="n"/>
      <c r="AH861" s="53" t="n"/>
    </row>
    <row r="862" ht="15.75" customHeight="1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  <c r="AA862" s="53" t="n"/>
      <c r="AB862" s="53" t="n"/>
      <c r="AC862" s="53" t="n"/>
      <c r="AD862" s="53" t="n"/>
      <c r="AE862" s="53" t="n"/>
      <c r="AF862" s="53" t="n"/>
      <c r="AG862" s="53" t="n"/>
      <c r="AH862" s="53" t="n"/>
    </row>
    <row r="863" ht="15.75" customHeight="1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  <c r="AA863" s="53" t="n"/>
      <c r="AB863" s="53" t="n"/>
      <c r="AC863" s="53" t="n"/>
      <c r="AD863" s="53" t="n"/>
      <c r="AE863" s="53" t="n"/>
      <c r="AF863" s="53" t="n"/>
      <c r="AG863" s="53" t="n"/>
      <c r="AH863" s="53" t="n"/>
    </row>
    <row r="864" ht="15.75" customHeight="1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  <c r="AA864" s="53" t="n"/>
      <c r="AB864" s="53" t="n"/>
      <c r="AC864" s="53" t="n"/>
      <c r="AD864" s="53" t="n"/>
      <c r="AE864" s="53" t="n"/>
      <c r="AF864" s="53" t="n"/>
      <c r="AG864" s="53" t="n"/>
      <c r="AH864" s="53" t="n"/>
    </row>
    <row r="865" ht="15.75" customHeight="1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  <c r="AA865" s="53" t="n"/>
      <c r="AB865" s="53" t="n"/>
      <c r="AC865" s="53" t="n"/>
      <c r="AD865" s="53" t="n"/>
      <c r="AE865" s="53" t="n"/>
      <c r="AF865" s="53" t="n"/>
      <c r="AG865" s="53" t="n"/>
      <c r="AH865" s="53" t="n"/>
    </row>
    <row r="866" ht="15.75" customHeight="1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  <c r="AA866" s="53" t="n"/>
      <c r="AB866" s="53" t="n"/>
      <c r="AC866" s="53" t="n"/>
      <c r="AD866" s="53" t="n"/>
      <c r="AE866" s="53" t="n"/>
      <c r="AF866" s="53" t="n"/>
      <c r="AG866" s="53" t="n"/>
      <c r="AH866" s="53" t="n"/>
    </row>
    <row r="867" ht="15.75" customHeight="1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  <c r="AA867" s="53" t="n"/>
      <c r="AB867" s="53" t="n"/>
      <c r="AC867" s="53" t="n"/>
      <c r="AD867" s="53" t="n"/>
      <c r="AE867" s="53" t="n"/>
      <c r="AF867" s="53" t="n"/>
      <c r="AG867" s="53" t="n"/>
      <c r="AH867" s="53" t="n"/>
    </row>
    <row r="868" ht="15.75" customHeight="1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  <c r="AA868" s="53" t="n"/>
      <c r="AB868" s="53" t="n"/>
      <c r="AC868" s="53" t="n"/>
      <c r="AD868" s="53" t="n"/>
      <c r="AE868" s="53" t="n"/>
      <c r="AF868" s="53" t="n"/>
      <c r="AG868" s="53" t="n"/>
      <c r="AH868" s="53" t="n"/>
    </row>
    <row r="869" ht="15.75" customHeight="1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  <c r="AA869" s="53" t="n"/>
      <c r="AB869" s="53" t="n"/>
      <c r="AC869" s="53" t="n"/>
      <c r="AD869" s="53" t="n"/>
      <c r="AE869" s="53" t="n"/>
      <c r="AF869" s="53" t="n"/>
      <c r="AG869" s="53" t="n"/>
      <c r="AH869" s="53" t="n"/>
    </row>
    <row r="870" ht="15.75" customHeight="1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  <c r="AA870" s="53" t="n"/>
      <c r="AB870" s="53" t="n"/>
      <c r="AC870" s="53" t="n"/>
      <c r="AD870" s="53" t="n"/>
      <c r="AE870" s="53" t="n"/>
      <c r="AF870" s="53" t="n"/>
      <c r="AG870" s="53" t="n"/>
      <c r="AH870" s="53" t="n"/>
    </row>
    <row r="871" ht="15.75" customHeight="1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  <c r="AA871" s="53" t="n"/>
      <c r="AB871" s="53" t="n"/>
      <c r="AC871" s="53" t="n"/>
      <c r="AD871" s="53" t="n"/>
      <c r="AE871" s="53" t="n"/>
      <c r="AF871" s="53" t="n"/>
      <c r="AG871" s="53" t="n"/>
      <c r="AH871" s="53" t="n"/>
    </row>
    <row r="872" ht="15.75" customHeight="1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  <c r="AA872" s="53" t="n"/>
      <c r="AB872" s="53" t="n"/>
      <c r="AC872" s="53" t="n"/>
      <c r="AD872" s="53" t="n"/>
      <c r="AE872" s="53" t="n"/>
      <c r="AF872" s="53" t="n"/>
      <c r="AG872" s="53" t="n"/>
      <c r="AH872" s="53" t="n"/>
    </row>
    <row r="873" ht="15.75" customHeight="1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  <c r="AA873" s="53" t="n"/>
      <c r="AB873" s="53" t="n"/>
      <c r="AC873" s="53" t="n"/>
      <c r="AD873" s="53" t="n"/>
      <c r="AE873" s="53" t="n"/>
      <c r="AF873" s="53" t="n"/>
      <c r="AG873" s="53" t="n"/>
      <c r="AH873" s="53" t="n"/>
    </row>
    <row r="874" ht="15.75" customHeight="1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  <c r="AA874" s="53" t="n"/>
      <c r="AB874" s="53" t="n"/>
      <c r="AC874" s="53" t="n"/>
      <c r="AD874" s="53" t="n"/>
      <c r="AE874" s="53" t="n"/>
      <c r="AF874" s="53" t="n"/>
      <c r="AG874" s="53" t="n"/>
      <c r="AH874" s="53" t="n"/>
    </row>
    <row r="875" ht="15.75" customHeight="1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  <c r="AA875" s="53" t="n"/>
      <c r="AB875" s="53" t="n"/>
      <c r="AC875" s="53" t="n"/>
      <c r="AD875" s="53" t="n"/>
      <c r="AE875" s="53" t="n"/>
      <c r="AF875" s="53" t="n"/>
      <c r="AG875" s="53" t="n"/>
      <c r="AH875" s="53" t="n"/>
    </row>
    <row r="876" ht="15.75" customHeight="1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  <c r="AA876" s="53" t="n"/>
      <c r="AB876" s="53" t="n"/>
      <c r="AC876" s="53" t="n"/>
      <c r="AD876" s="53" t="n"/>
      <c r="AE876" s="53" t="n"/>
      <c r="AF876" s="53" t="n"/>
      <c r="AG876" s="53" t="n"/>
      <c r="AH876" s="53" t="n"/>
    </row>
    <row r="877" ht="15.75" customHeight="1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  <c r="AA877" s="53" t="n"/>
      <c r="AB877" s="53" t="n"/>
      <c r="AC877" s="53" t="n"/>
      <c r="AD877" s="53" t="n"/>
      <c r="AE877" s="53" t="n"/>
      <c r="AF877" s="53" t="n"/>
      <c r="AG877" s="53" t="n"/>
      <c r="AH877" s="53" t="n"/>
    </row>
    <row r="878" ht="15.75" customHeight="1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  <c r="AA878" s="53" t="n"/>
      <c r="AB878" s="53" t="n"/>
      <c r="AC878" s="53" t="n"/>
      <c r="AD878" s="53" t="n"/>
      <c r="AE878" s="53" t="n"/>
      <c r="AF878" s="53" t="n"/>
      <c r="AG878" s="53" t="n"/>
      <c r="AH878" s="53" t="n"/>
    </row>
    <row r="879" ht="15.75" customHeight="1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  <c r="AA879" s="53" t="n"/>
      <c r="AB879" s="53" t="n"/>
      <c r="AC879" s="53" t="n"/>
      <c r="AD879" s="53" t="n"/>
      <c r="AE879" s="53" t="n"/>
      <c r="AF879" s="53" t="n"/>
      <c r="AG879" s="53" t="n"/>
      <c r="AH879" s="53" t="n"/>
    </row>
    <row r="880" ht="15.75" customHeight="1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  <c r="AA880" s="53" t="n"/>
      <c r="AB880" s="53" t="n"/>
      <c r="AC880" s="53" t="n"/>
      <c r="AD880" s="53" t="n"/>
      <c r="AE880" s="53" t="n"/>
      <c r="AF880" s="53" t="n"/>
      <c r="AG880" s="53" t="n"/>
      <c r="AH880" s="53" t="n"/>
    </row>
    <row r="881" ht="15.75" customHeight="1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  <c r="AA881" s="53" t="n"/>
      <c r="AB881" s="53" t="n"/>
      <c r="AC881" s="53" t="n"/>
      <c r="AD881" s="53" t="n"/>
      <c r="AE881" s="53" t="n"/>
      <c r="AF881" s="53" t="n"/>
      <c r="AG881" s="53" t="n"/>
      <c r="AH881" s="53" t="n"/>
    </row>
    <row r="882" ht="15.75" customHeight="1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  <c r="AA882" s="53" t="n"/>
      <c r="AB882" s="53" t="n"/>
      <c r="AC882" s="53" t="n"/>
      <c r="AD882" s="53" t="n"/>
      <c r="AE882" s="53" t="n"/>
      <c r="AF882" s="53" t="n"/>
      <c r="AG882" s="53" t="n"/>
      <c r="AH882" s="53" t="n"/>
    </row>
    <row r="883" ht="15.75" customHeight="1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  <c r="AA883" s="53" t="n"/>
      <c r="AB883" s="53" t="n"/>
      <c r="AC883" s="53" t="n"/>
      <c r="AD883" s="53" t="n"/>
      <c r="AE883" s="53" t="n"/>
      <c r="AF883" s="53" t="n"/>
      <c r="AG883" s="53" t="n"/>
      <c r="AH883" s="53" t="n"/>
    </row>
    <row r="884" ht="15.75" customHeight="1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  <c r="AA884" s="53" t="n"/>
      <c r="AB884" s="53" t="n"/>
      <c r="AC884" s="53" t="n"/>
      <c r="AD884" s="53" t="n"/>
      <c r="AE884" s="53" t="n"/>
      <c r="AF884" s="53" t="n"/>
      <c r="AG884" s="53" t="n"/>
      <c r="AH884" s="53" t="n"/>
    </row>
    <row r="885" ht="15.75" customHeight="1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  <c r="AA885" s="53" t="n"/>
      <c r="AB885" s="53" t="n"/>
      <c r="AC885" s="53" t="n"/>
      <c r="AD885" s="53" t="n"/>
      <c r="AE885" s="53" t="n"/>
      <c r="AF885" s="53" t="n"/>
      <c r="AG885" s="53" t="n"/>
      <c r="AH885" s="53" t="n"/>
    </row>
    <row r="886" ht="15.75" customHeight="1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  <c r="AA886" s="53" t="n"/>
      <c r="AB886" s="53" t="n"/>
      <c r="AC886" s="53" t="n"/>
      <c r="AD886" s="53" t="n"/>
      <c r="AE886" s="53" t="n"/>
      <c r="AF886" s="53" t="n"/>
      <c r="AG886" s="53" t="n"/>
      <c r="AH886" s="53" t="n"/>
    </row>
    <row r="887" ht="15.75" customHeight="1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  <c r="AA887" s="53" t="n"/>
      <c r="AB887" s="53" t="n"/>
      <c r="AC887" s="53" t="n"/>
      <c r="AD887" s="53" t="n"/>
      <c r="AE887" s="53" t="n"/>
      <c r="AF887" s="53" t="n"/>
      <c r="AG887" s="53" t="n"/>
      <c r="AH887" s="53" t="n"/>
    </row>
    <row r="888" ht="15.75" customHeight="1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  <c r="AA888" s="53" t="n"/>
      <c r="AB888" s="53" t="n"/>
      <c r="AC888" s="53" t="n"/>
      <c r="AD888" s="53" t="n"/>
      <c r="AE888" s="53" t="n"/>
      <c r="AF888" s="53" t="n"/>
      <c r="AG888" s="53" t="n"/>
      <c r="AH888" s="53" t="n"/>
    </row>
    <row r="889" ht="15.75" customHeight="1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  <c r="AA889" s="53" t="n"/>
      <c r="AB889" s="53" t="n"/>
      <c r="AC889" s="53" t="n"/>
      <c r="AD889" s="53" t="n"/>
      <c r="AE889" s="53" t="n"/>
      <c r="AF889" s="53" t="n"/>
      <c r="AG889" s="53" t="n"/>
      <c r="AH889" s="53" t="n"/>
    </row>
    <row r="890" ht="15.75" customHeight="1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  <c r="AA890" s="53" t="n"/>
      <c r="AB890" s="53" t="n"/>
      <c r="AC890" s="53" t="n"/>
      <c r="AD890" s="53" t="n"/>
      <c r="AE890" s="53" t="n"/>
      <c r="AF890" s="53" t="n"/>
      <c r="AG890" s="53" t="n"/>
      <c r="AH890" s="53" t="n"/>
    </row>
    <row r="891" ht="15.75" customHeight="1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  <c r="AA891" s="53" t="n"/>
      <c r="AB891" s="53" t="n"/>
      <c r="AC891" s="53" t="n"/>
      <c r="AD891" s="53" t="n"/>
      <c r="AE891" s="53" t="n"/>
      <c r="AF891" s="53" t="n"/>
      <c r="AG891" s="53" t="n"/>
      <c r="AH891" s="53" t="n"/>
    </row>
    <row r="892" ht="15.75" customHeight="1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  <c r="AA892" s="53" t="n"/>
      <c r="AB892" s="53" t="n"/>
      <c r="AC892" s="53" t="n"/>
      <c r="AD892" s="53" t="n"/>
      <c r="AE892" s="53" t="n"/>
      <c r="AF892" s="53" t="n"/>
      <c r="AG892" s="53" t="n"/>
      <c r="AH892" s="53" t="n"/>
    </row>
    <row r="893" ht="15.75" customHeight="1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  <c r="AA893" s="53" t="n"/>
      <c r="AB893" s="53" t="n"/>
      <c r="AC893" s="53" t="n"/>
      <c r="AD893" s="53" t="n"/>
      <c r="AE893" s="53" t="n"/>
      <c r="AF893" s="53" t="n"/>
      <c r="AG893" s="53" t="n"/>
      <c r="AH893" s="53" t="n"/>
    </row>
    <row r="894" ht="15.75" customHeight="1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  <c r="AA894" s="53" t="n"/>
      <c r="AB894" s="53" t="n"/>
      <c r="AC894" s="53" t="n"/>
      <c r="AD894" s="53" t="n"/>
      <c r="AE894" s="53" t="n"/>
      <c r="AF894" s="53" t="n"/>
      <c r="AG894" s="53" t="n"/>
      <c r="AH894" s="53" t="n"/>
    </row>
    <row r="895" ht="15.75" customHeight="1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  <c r="AA895" s="53" t="n"/>
      <c r="AB895" s="53" t="n"/>
      <c r="AC895" s="53" t="n"/>
      <c r="AD895" s="53" t="n"/>
      <c r="AE895" s="53" t="n"/>
      <c r="AF895" s="53" t="n"/>
      <c r="AG895" s="53" t="n"/>
      <c r="AH895" s="53" t="n"/>
    </row>
    <row r="896" ht="15.75" customHeight="1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  <c r="AA896" s="53" t="n"/>
      <c r="AB896" s="53" t="n"/>
      <c r="AC896" s="53" t="n"/>
      <c r="AD896" s="53" t="n"/>
      <c r="AE896" s="53" t="n"/>
      <c r="AF896" s="53" t="n"/>
      <c r="AG896" s="53" t="n"/>
      <c r="AH896" s="53" t="n"/>
    </row>
    <row r="897" ht="15.75" customHeight="1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  <c r="AA897" s="53" t="n"/>
      <c r="AB897" s="53" t="n"/>
      <c r="AC897" s="53" t="n"/>
      <c r="AD897" s="53" t="n"/>
      <c r="AE897" s="53" t="n"/>
      <c r="AF897" s="53" t="n"/>
      <c r="AG897" s="53" t="n"/>
      <c r="AH897" s="53" t="n"/>
    </row>
    <row r="898" ht="15.75" customHeight="1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  <c r="AA898" s="53" t="n"/>
      <c r="AB898" s="53" t="n"/>
      <c r="AC898" s="53" t="n"/>
      <c r="AD898" s="53" t="n"/>
      <c r="AE898" s="53" t="n"/>
      <c r="AF898" s="53" t="n"/>
      <c r="AG898" s="53" t="n"/>
      <c r="AH898" s="53" t="n"/>
    </row>
    <row r="899" ht="15.75" customHeight="1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  <c r="AA899" s="53" t="n"/>
      <c r="AB899" s="53" t="n"/>
      <c r="AC899" s="53" t="n"/>
      <c r="AD899" s="53" t="n"/>
      <c r="AE899" s="53" t="n"/>
      <c r="AF899" s="53" t="n"/>
      <c r="AG899" s="53" t="n"/>
      <c r="AH899" s="53" t="n"/>
    </row>
    <row r="900" ht="15.75" customHeight="1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  <c r="AA900" s="53" t="n"/>
      <c r="AB900" s="53" t="n"/>
      <c r="AC900" s="53" t="n"/>
      <c r="AD900" s="53" t="n"/>
      <c r="AE900" s="53" t="n"/>
      <c r="AF900" s="53" t="n"/>
      <c r="AG900" s="53" t="n"/>
      <c r="AH900" s="53" t="n"/>
    </row>
    <row r="901" ht="15.75" customHeight="1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  <c r="AA901" s="53" t="n"/>
      <c r="AB901" s="53" t="n"/>
      <c r="AC901" s="53" t="n"/>
      <c r="AD901" s="53" t="n"/>
      <c r="AE901" s="53" t="n"/>
      <c r="AF901" s="53" t="n"/>
      <c r="AG901" s="53" t="n"/>
      <c r="AH901" s="53" t="n"/>
    </row>
    <row r="902" ht="15.75" customHeight="1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  <c r="AA902" s="53" t="n"/>
      <c r="AB902" s="53" t="n"/>
      <c r="AC902" s="53" t="n"/>
      <c r="AD902" s="53" t="n"/>
      <c r="AE902" s="53" t="n"/>
      <c r="AF902" s="53" t="n"/>
      <c r="AG902" s="53" t="n"/>
      <c r="AH902" s="53" t="n"/>
    </row>
    <row r="903" ht="15.75" customHeight="1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  <c r="AA903" s="53" t="n"/>
      <c r="AB903" s="53" t="n"/>
      <c r="AC903" s="53" t="n"/>
      <c r="AD903" s="53" t="n"/>
      <c r="AE903" s="53" t="n"/>
      <c r="AF903" s="53" t="n"/>
      <c r="AG903" s="53" t="n"/>
      <c r="AH903" s="53" t="n"/>
    </row>
    <row r="904" ht="15.75" customHeight="1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  <c r="AA904" s="53" t="n"/>
      <c r="AB904" s="53" t="n"/>
      <c r="AC904" s="53" t="n"/>
      <c r="AD904" s="53" t="n"/>
      <c r="AE904" s="53" t="n"/>
      <c r="AF904" s="53" t="n"/>
      <c r="AG904" s="53" t="n"/>
      <c r="AH904" s="53" t="n"/>
    </row>
    <row r="905" ht="15.75" customHeight="1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  <c r="AA905" s="53" t="n"/>
      <c r="AB905" s="53" t="n"/>
      <c r="AC905" s="53" t="n"/>
      <c r="AD905" s="53" t="n"/>
      <c r="AE905" s="53" t="n"/>
      <c r="AF905" s="53" t="n"/>
      <c r="AG905" s="53" t="n"/>
      <c r="AH905" s="53" t="n"/>
    </row>
    <row r="906" ht="15.75" customHeight="1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  <c r="AA906" s="53" t="n"/>
      <c r="AB906" s="53" t="n"/>
      <c r="AC906" s="53" t="n"/>
      <c r="AD906" s="53" t="n"/>
      <c r="AE906" s="53" t="n"/>
      <c r="AF906" s="53" t="n"/>
      <c r="AG906" s="53" t="n"/>
      <c r="AH906" s="53" t="n"/>
    </row>
    <row r="907" ht="15.75" customHeight="1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  <c r="AA907" s="53" t="n"/>
      <c r="AB907" s="53" t="n"/>
      <c r="AC907" s="53" t="n"/>
      <c r="AD907" s="53" t="n"/>
      <c r="AE907" s="53" t="n"/>
      <c r="AF907" s="53" t="n"/>
      <c r="AG907" s="53" t="n"/>
      <c r="AH907" s="53" t="n"/>
    </row>
    <row r="908" ht="15.75" customHeight="1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  <c r="AA908" s="53" t="n"/>
      <c r="AB908" s="53" t="n"/>
      <c r="AC908" s="53" t="n"/>
      <c r="AD908" s="53" t="n"/>
      <c r="AE908" s="53" t="n"/>
      <c r="AF908" s="53" t="n"/>
      <c r="AG908" s="53" t="n"/>
      <c r="AH908" s="53" t="n"/>
    </row>
    <row r="909" ht="15.75" customHeight="1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  <c r="AA909" s="53" t="n"/>
      <c r="AB909" s="53" t="n"/>
      <c r="AC909" s="53" t="n"/>
      <c r="AD909" s="53" t="n"/>
      <c r="AE909" s="53" t="n"/>
      <c r="AF909" s="53" t="n"/>
      <c r="AG909" s="53" t="n"/>
      <c r="AH909" s="53" t="n"/>
    </row>
    <row r="910" ht="15.75" customHeight="1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  <c r="AA910" s="53" t="n"/>
      <c r="AB910" s="53" t="n"/>
      <c r="AC910" s="53" t="n"/>
      <c r="AD910" s="53" t="n"/>
      <c r="AE910" s="53" t="n"/>
      <c r="AF910" s="53" t="n"/>
      <c r="AG910" s="53" t="n"/>
      <c r="AH910" s="53" t="n"/>
    </row>
    <row r="911" ht="15.75" customHeight="1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  <c r="AA911" s="53" t="n"/>
      <c r="AB911" s="53" t="n"/>
      <c r="AC911" s="53" t="n"/>
      <c r="AD911" s="53" t="n"/>
      <c r="AE911" s="53" t="n"/>
      <c r="AF911" s="53" t="n"/>
      <c r="AG911" s="53" t="n"/>
      <c r="AH911" s="53" t="n"/>
    </row>
    <row r="912" ht="15.75" customHeight="1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  <c r="AA912" s="53" t="n"/>
      <c r="AB912" s="53" t="n"/>
      <c r="AC912" s="53" t="n"/>
      <c r="AD912" s="53" t="n"/>
      <c r="AE912" s="53" t="n"/>
      <c r="AF912" s="53" t="n"/>
      <c r="AG912" s="53" t="n"/>
      <c r="AH912" s="53" t="n"/>
    </row>
    <row r="913" ht="15.75" customHeight="1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  <c r="AA913" s="53" t="n"/>
      <c r="AB913" s="53" t="n"/>
      <c r="AC913" s="53" t="n"/>
      <c r="AD913" s="53" t="n"/>
      <c r="AE913" s="53" t="n"/>
      <c r="AF913" s="53" t="n"/>
      <c r="AG913" s="53" t="n"/>
      <c r="AH913" s="53" t="n"/>
    </row>
    <row r="914" ht="15.75" customHeight="1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  <c r="AA914" s="53" t="n"/>
      <c r="AB914" s="53" t="n"/>
      <c r="AC914" s="53" t="n"/>
      <c r="AD914" s="53" t="n"/>
      <c r="AE914" s="53" t="n"/>
      <c r="AF914" s="53" t="n"/>
      <c r="AG914" s="53" t="n"/>
      <c r="AH914" s="53" t="n"/>
    </row>
    <row r="915" ht="15.75" customHeight="1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  <c r="AA915" s="53" t="n"/>
      <c r="AB915" s="53" t="n"/>
      <c r="AC915" s="53" t="n"/>
      <c r="AD915" s="53" t="n"/>
      <c r="AE915" s="53" t="n"/>
      <c r="AF915" s="53" t="n"/>
      <c r="AG915" s="53" t="n"/>
      <c r="AH915" s="53" t="n"/>
    </row>
    <row r="916" ht="15.75" customHeight="1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  <c r="AA916" s="53" t="n"/>
      <c r="AB916" s="53" t="n"/>
      <c r="AC916" s="53" t="n"/>
      <c r="AD916" s="53" t="n"/>
      <c r="AE916" s="53" t="n"/>
      <c r="AF916" s="53" t="n"/>
      <c r="AG916" s="53" t="n"/>
      <c r="AH916" s="53" t="n"/>
    </row>
    <row r="917" ht="15.75" customHeight="1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  <c r="AA917" s="53" t="n"/>
      <c r="AB917" s="53" t="n"/>
      <c r="AC917" s="53" t="n"/>
      <c r="AD917" s="53" t="n"/>
      <c r="AE917" s="53" t="n"/>
      <c r="AF917" s="53" t="n"/>
      <c r="AG917" s="53" t="n"/>
      <c r="AH917" s="53" t="n"/>
    </row>
    <row r="918" ht="15.75" customHeight="1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  <c r="AA918" s="53" t="n"/>
      <c r="AB918" s="53" t="n"/>
      <c r="AC918" s="53" t="n"/>
      <c r="AD918" s="53" t="n"/>
      <c r="AE918" s="53" t="n"/>
      <c r="AF918" s="53" t="n"/>
      <c r="AG918" s="53" t="n"/>
      <c r="AH918" s="53" t="n"/>
    </row>
    <row r="919" ht="15.75" customHeight="1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  <c r="AA919" s="53" t="n"/>
      <c r="AB919" s="53" t="n"/>
      <c r="AC919" s="53" t="n"/>
      <c r="AD919" s="53" t="n"/>
      <c r="AE919" s="53" t="n"/>
      <c r="AF919" s="53" t="n"/>
      <c r="AG919" s="53" t="n"/>
      <c r="AH919" s="53" t="n"/>
    </row>
    <row r="920" ht="15.75" customHeight="1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  <c r="AA920" s="53" t="n"/>
      <c r="AB920" s="53" t="n"/>
      <c r="AC920" s="53" t="n"/>
      <c r="AD920" s="53" t="n"/>
      <c r="AE920" s="53" t="n"/>
      <c r="AF920" s="53" t="n"/>
      <c r="AG920" s="53" t="n"/>
      <c r="AH920" s="53" t="n"/>
    </row>
    <row r="921" ht="15.75" customHeight="1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  <c r="AA921" s="53" t="n"/>
      <c r="AB921" s="53" t="n"/>
      <c r="AC921" s="53" t="n"/>
      <c r="AD921" s="53" t="n"/>
      <c r="AE921" s="53" t="n"/>
      <c r="AF921" s="53" t="n"/>
      <c r="AG921" s="53" t="n"/>
      <c r="AH921" s="53" t="n"/>
    </row>
    <row r="922" ht="15.75" customHeight="1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  <c r="AA922" s="53" t="n"/>
      <c r="AB922" s="53" t="n"/>
      <c r="AC922" s="53" t="n"/>
      <c r="AD922" s="53" t="n"/>
      <c r="AE922" s="53" t="n"/>
      <c r="AF922" s="53" t="n"/>
      <c r="AG922" s="53" t="n"/>
      <c r="AH922" s="53" t="n"/>
    </row>
    <row r="923" ht="15.75" customHeight="1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  <c r="AA923" s="53" t="n"/>
      <c r="AB923" s="53" t="n"/>
      <c r="AC923" s="53" t="n"/>
      <c r="AD923" s="53" t="n"/>
      <c r="AE923" s="53" t="n"/>
      <c r="AF923" s="53" t="n"/>
      <c r="AG923" s="53" t="n"/>
      <c r="AH923" s="53" t="n"/>
    </row>
    <row r="924" ht="15.75" customHeight="1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  <c r="AA924" s="53" t="n"/>
      <c r="AB924" s="53" t="n"/>
      <c r="AC924" s="53" t="n"/>
      <c r="AD924" s="53" t="n"/>
      <c r="AE924" s="53" t="n"/>
      <c r="AF924" s="53" t="n"/>
      <c r="AG924" s="53" t="n"/>
      <c r="AH924" s="53" t="n"/>
    </row>
    <row r="925" ht="15.75" customHeight="1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  <c r="AA925" s="53" t="n"/>
      <c r="AB925" s="53" t="n"/>
      <c r="AC925" s="53" t="n"/>
      <c r="AD925" s="53" t="n"/>
      <c r="AE925" s="53" t="n"/>
      <c r="AF925" s="53" t="n"/>
      <c r="AG925" s="53" t="n"/>
      <c r="AH925" s="53" t="n"/>
    </row>
    <row r="926" ht="15.75" customHeight="1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  <c r="AA926" s="53" t="n"/>
      <c r="AB926" s="53" t="n"/>
      <c r="AC926" s="53" t="n"/>
      <c r="AD926" s="53" t="n"/>
      <c r="AE926" s="53" t="n"/>
      <c r="AF926" s="53" t="n"/>
      <c r="AG926" s="53" t="n"/>
      <c r="AH926" s="53" t="n"/>
    </row>
    <row r="927" ht="15.75" customHeight="1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  <c r="AA927" s="53" t="n"/>
      <c r="AB927" s="53" t="n"/>
      <c r="AC927" s="53" t="n"/>
      <c r="AD927" s="53" t="n"/>
      <c r="AE927" s="53" t="n"/>
      <c r="AF927" s="53" t="n"/>
      <c r="AG927" s="53" t="n"/>
      <c r="AH927" s="53" t="n"/>
    </row>
    <row r="928" ht="15.75" customHeight="1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  <c r="AA928" s="53" t="n"/>
      <c r="AB928" s="53" t="n"/>
      <c r="AC928" s="53" t="n"/>
      <c r="AD928" s="53" t="n"/>
      <c r="AE928" s="53" t="n"/>
      <c r="AF928" s="53" t="n"/>
      <c r="AG928" s="53" t="n"/>
      <c r="AH928" s="53" t="n"/>
    </row>
    <row r="929" ht="15.75" customHeight="1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  <c r="AA929" s="53" t="n"/>
      <c r="AB929" s="53" t="n"/>
      <c r="AC929" s="53" t="n"/>
      <c r="AD929" s="53" t="n"/>
      <c r="AE929" s="53" t="n"/>
      <c r="AF929" s="53" t="n"/>
      <c r="AG929" s="53" t="n"/>
      <c r="AH929" s="53" t="n"/>
    </row>
    <row r="930" ht="15.75" customHeight="1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  <c r="AA930" s="53" t="n"/>
      <c r="AB930" s="53" t="n"/>
      <c r="AC930" s="53" t="n"/>
      <c r="AD930" s="53" t="n"/>
      <c r="AE930" s="53" t="n"/>
      <c r="AF930" s="53" t="n"/>
      <c r="AG930" s="53" t="n"/>
      <c r="AH930" s="53" t="n"/>
    </row>
    <row r="931" ht="15.75" customHeight="1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  <c r="AA931" s="53" t="n"/>
      <c r="AB931" s="53" t="n"/>
      <c r="AC931" s="53" t="n"/>
      <c r="AD931" s="53" t="n"/>
      <c r="AE931" s="53" t="n"/>
      <c r="AF931" s="53" t="n"/>
      <c r="AG931" s="53" t="n"/>
      <c r="AH931" s="53" t="n"/>
    </row>
    <row r="932" ht="15.75" customHeight="1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  <c r="AA932" s="53" t="n"/>
      <c r="AB932" s="53" t="n"/>
      <c r="AC932" s="53" t="n"/>
      <c r="AD932" s="53" t="n"/>
      <c r="AE932" s="53" t="n"/>
      <c r="AF932" s="53" t="n"/>
      <c r="AG932" s="53" t="n"/>
      <c r="AH932" s="53" t="n"/>
    </row>
    <row r="933" ht="15.75" customHeight="1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  <c r="AA933" s="53" t="n"/>
      <c r="AB933" s="53" t="n"/>
      <c r="AC933" s="53" t="n"/>
      <c r="AD933" s="53" t="n"/>
      <c r="AE933" s="53" t="n"/>
      <c r="AF933" s="53" t="n"/>
      <c r="AG933" s="53" t="n"/>
      <c r="AH933" s="53" t="n"/>
    </row>
    <row r="934" ht="15.75" customHeight="1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  <c r="AA934" s="53" t="n"/>
      <c r="AB934" s="53" t="n"/>
      <c r="AC934" s="53" t="n"/>
      <c r="AD934" s="53" t="n"/>
      <c r="AE934" s="53" t="n"/>
      <c r="AF934" s="53" t="n"/>
      <c r="AG934" s="53" t="n"/>
      <c r="AH934" s="53" t="n"/>
    </row>
    <row r="935" ht="15.75" customHeight="1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  <c r="AA935" s="53" t="n"/>
      <c r="AB935" s="53" t="n"/>
      <c r="AC935" s="53" t="n"/>
      <c r="AD935" s="53" t="n"/>
      <c r="AE935" s="53" t="n"/>
      <c r="AF935" s="53" t="n"/>
      <c r="AG935" s="53" t="n"/>
      <c r="AH935" s="53" t="n"/>
    </row>
    <row r="936" ht="15.75" customHeight="1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  <c r="AA936" s="53" t="n"/>
      <c r="AB936" s="53" t="n"/>
      <c r="AC936" s="53" t="n"/>
      <c r="AD936" s="53" t="n"/>
      <c r="AE936" s="53" t="n"/>
      <c r="AF936" s="53" t="n"/>
      <c r="AG936" s="53" t="n"/>
      <c r="AH936" s="53" t="n"/>
    </row>
    <row r="937" ht="15.75" customHeight="1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  <c r="AA937" s="53" t="n"/>
      <c r="AB937" s="53" t="n"/>
      <c r="AC937" s="53" t="n"/>
      <c r="AD937" s="53" t="n"/>
      <c r="AE937" s="53" t="n"/>
      <c r="AF937" s="53" t="n"/>
      <c r="AG937" s="53" t="n"/>
      <c r="AH937" s="53" t="n"/>
    </row>
    <row r="938" ht="15.75" customHeight="1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  <c r="AA938" s="53" t="n"/>
      <c r="AB938" s="53" t="n"/>
      <c r="AC938" s="53" t="n"/>
      <c r="AD938" s="53" t="n"/>
      <c r="AE938" s="53" t="n"/>
      <c r="AF938" s="53" t="n"/>
      <c r="AG938" s="53" t="n"/>
      <c r="AH938" s="53" t="n"/>
    </row>
    <row r="939" ht="15.75" customHeight="1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  <c r="AA939" s="53" t="n"/>
      <c r="AB939" s="53" t="n"/>
      <c r="AC939" s="53" t="n"/>
      <c r="AD939" s="53" t="n"/>
      <c r="AE939" s="53" t="n"/>
      <c r="AF939" s="53" t="n"/>
      <c r="AG939" s="53" t="n"/>
      <c r="AH939" s="53" t="n"/>
    </row>
    <row r="940" ht="15.75" customHeight="1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  <c r="AA940" s="53" t="n"/>
      <c r="AB940" s="53" t="n"/>
      <c r="AC940" s="53" t="n"/>
      <c r="AD940" s="53" t="n"/>
      <c r="AE940" s="53" t="n"/>
      <c r="AF940" s="53" t="n"/>
      <c r="AG940" s="53" t="n"/>
      <c r="AH940" s="53" t="n"/>
    </row>
    <row r="941" ht="15.75" customHeight="1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  <c r="AA941" s="53" t="n"/>
      <c r="AB941" s="53" t="n"/>
      <c r="AC941" s="53" t="n"/>
      <c r="AD941" s="53" t="n"/>
      <c r="AE941" s="53" t="n"/>
      <c r="AF941" s="53" t="n"/>
      <c r="AG941" s="53" t="n"/>
      <c r="AH941" s="53" t="n"/>
    </row>
    <row r="942" ht="15.75" customHeight="1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  <c r="AA942" s="53" t="n"/>
      <c r="AB942" s="53" t="n"/>
      <c r="AC942" s="53" t="n"/>
      <c r="AD942" s="53" t="n"/>
      <c r="AE942" s="53" t="n"/>
      <c r="AF942" s="53" t="n"/>
      <c r="AG942" s="53" t="n"/>
      <c r="AH942" s="53" t="n"/>
    </row>
    <row r="943" ht="15.75" customHeight="1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  <c r="AA943" s="53" t="n"/>
      <c r="AB943" s="53" t="n"/>
      <c r="AC943" s="53" t="n"/>
      <c r="AD943" s="53" t="n"/>
      <c r="AE943" s="53" t="n"/>
      <c r="AF943" s="53" t="n"/>
      <c r="AG943" s="53" t="n"/>
      <c r="AH943" s="53" t="n"/>
    </row>
    <row r="944" ht="15.75" customHeight="1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  <c r="AA944" s="53" t="n"/>
      <c r="AB944" s="53" t="n"/>
      <c r="AC944" s="53" t="n"/>
      <c r="AD944" s="53" t="n"/>
      <c r="AE944" s="53" t="n"/>
      <c r="AF944" s="53" t="n"/>
      <c r="AG944" s="53" t="n"/>
      <c r="AH944" s="53" t="n"/>
    </row>
    <row r="945" ht="15.75" customHeight="1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  <c r="AA945" s="53" t="n"/>
      <c r="AB945" s="53" t="n"/>
      <c r="AC945" s="53" t="n"/>
      <c r="AD945" s="53" t="n"/>
      <c r="AE945" s="53" t="n"/>
      <c r="AF945" s="53" t="n"/>
      <c r="AG945" s="53" t="n"/>
      <c r="AH945" s="53" t="n"/>
    </row>
    <row r="946" ht="15.75" customHeight="1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  <c r="AA946" s="53" t="n"/>
      <c r="AB946" s="53" t="n"/>
      <c r="AC946" s="53" t="n"/>
      <c r="AD946" s="53" t="n"/>
      <c r="AE946" s="53" t="n"/>
      <c r="AF946" s="53" t="n"/>
      <c r="AG946" s="53" t="n"/>
      <c r="AH946" s="53" t="n"/>
    </row>
    <row r="947" ht="15.75" customHeight="1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  <c r="AA947" s="53" t="n"/>
      <c r="AB947" s="53" t="n"/>
      <c r="AC947" s="53" t="n"/>
      <c r="AD947" s="53" t="n"/>
      <c r="AE947" s="53" t="n"/>
      <c r="AF947" s="53" t="n"/>
      <c r="AG947" s="53" t="n"/>
      <c r="AH947" s="53" t="n"/>
    </row>
    <row r="948" ht="15.75" customHeight="1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  <c r="AA948" s="53" t="n"/>
      <c r="AB948" s="53" t="n"/>
      <c r="AC948" s="53" t="n"/>
      <c r="AD948" s="53" t="n"/>
      <c r="AE948" s="53" t="n"/>
      <c r="AF948" s="53" t="n"/>
      <c r="AG948" s="53" t="n"/>
      <c r="AH948" s="53" t="n"/>
    </row>
    <row r="949" ht="15.75" customHeight="1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  <c r="AA949" s="53" t="n"/>
      <c r="AB949" s="53" t="n"/>
      <c r="AC949" s="53" t="n"/>
      <c r="AD949" s="53" t="n"/>
      <c r="AE949" s="53" t="n"/>
      <c r="AF949" s="53" t="n"/>
      <c r="AG949" s="53" t="n"/>
      <c r="AH949" s="53" t="n"/>
    </row>
    <row r="950" ht="15.75" customHeight="1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  <c r="AA950" s="53" t="n"/>
      <c r="AB950" s="53" t="n"/>
      <c r="AC950" s="53" t="n"/>
      <c r="AD950" s="53" t="n"/>
      <c r="AE950" s="53" t="n"/>
      <c r="AF950" s="53" t="n"/>
      <c r="AG950" s="53" t="n"/>
      <c r="AH950" s="53" t="n"/>
    </row>
    <row r="951" ht="15.75" customHeight="1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  <c r="AA951" s="53" t="n"/>
      <c r="AB951" s="53" t="n"/>
      <c r="AC951" s="53" t="n"/>
      <c r="AD951" s="53" t="n"/>
      <c r="AE951" s="53" t="n"/>
      <c r="AF951" s="53" t="n"/>
      <c r="AG951" s="53" t="n"/>
      <c r="AH951" s="53" t="n"/>
    </row>
    <row r="952" ht="15.75" customHeight="1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  <c r="AA952" s="53" t="n"/>
      <c r="AB952" s="53" t="n"/>
      <c r="AC952" s="53" t="n"/>
      <c r="AD952" s="53" t="n"/>
      <c r="AE952" s="53" t="n"/>
      <c r="AF952" s="53" t="n"/>
      <c r="AG952" s="53" t="n"/>
      <c r="AH952" s="53" t="n"/>
    </row>
    <row r="953" ht="15.75" customHeight="1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  <c r="AA953" s="53" t="n"/>
      <c r="AB953" s="53" t="n"/>
      <c r="AC953" s="53" t="n"/>
      <c r="AD953" s="53" t="n"/>
      <c r="AE953" s="53" t="n"/>
      <c r="AF953" s="53" t="n"/>
      <c r="AG953" s="53" t="n"/>
      <c r="AH953" s="53" t="n"/>
    </row>
    <row r="954" ht="15.75" customHeight="1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  <c r="AA954" s="53" t="n"/>
      <c r="AB954" s="53" t="n"/>
      <c r="AC954" s="53" t="n"/>
      <c r="AD954" s="53" t="n"/>
      <c r="AE954" s="53" t="n"/>
      <c r="AF954" s="53" t="n"/>
      <c r="AG954" s="53" t="n"/>
      <c r="AH954" s="53" t="n"/>
    </row>
    <row r="955" ht="15.75" customHeight="1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  <c r="AA955" s="53" t="n"/>
      <c r="AB955" s="53" t="n"/>
      <c r="AC955" s="53" t="n"/>
      <c r="AD955" s="53" t="n"/>
      <c r="AE955" s="53" t="n"/>
      <c r="AF955" s="53" t="n"/>
      <c r="AG955" s="53" t="n"/>
      <c r="AH955" s="53" t="n"/>
    </row>
    <row r="956" ht="15.75" customHeight="1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  <c r="AA956" s="53" t="n"/>
      <c r="AB956" s="53" t="n"/>
      <c r="AC956" s="53" t="n"/>
      <c r="AD956" s="53" t="n"/>
      <c r="AE956" s="53" t="n"/>
      <c r="AF956" s="53" t="n"/>
      <c r="AG956" s="53" t="n"/>
      <c r="AH956" s="53" t="n"/>
    </row>
    <row r="957" ht="15.75" customHeight="1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  <c r="AA957" s="53" t="n"/>
      <c r="AB957" s="53" t="n"/>
      <c r="AC957" s="53" t="n"/>
      <c r="AD957" s="53" t="n"/>
      <c r="AE957" s="53" t="n"/>
      <c r="AF957" s="53" t="n"/>
      <c r="AG957" s="53" t="n"/>
      <c r="AH957" s="53" t="n"/>
    </row>
    <row r="958" ht="15.75" customHeight="1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  <c r="AA958" s="53" t="n"/>
      <c r="AB958" s="53" t="n"/>
      <c r="AC958" s="53" t="n"/>
      <c r="AD958" s="53" t="n"/>
      <c r="AE958" s="53" t="n"/>
      <c r="AF958" s="53" t="n"/>
      <c r="AG958" s="53" t="n"/>
      <c r="AH958" s="53" t="n"/>
    </row>
    <row r="959" ht="15.75" customHeight="1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  <c r="AA959" s="53" t="n"/>
      <c r="AB959" s="53" t="n"/>
      <c r="AC959" s="53" t="n"/>
      <c r="AD959" s="53" t="n"/>
      <c r="AE959" s="53" t="n"/>
      <c r="AF959" s="53" t="n"/>
      <c r="AG959" s="53" t="n"/>
      <c r="AH959" s="5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2025-11-06T07:17:27Z</dcterms:created>
  <dcterms:modified xsi:type="dcterms:W3CDTF">2025-11-06T07:17:50Z</dcterms:modified>
</cp:coreProperties>
</file>