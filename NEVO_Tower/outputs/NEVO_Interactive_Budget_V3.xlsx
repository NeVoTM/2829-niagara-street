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Hard Costs" sheetId="3" state="visible" r:id="rId3"/>
    <sheet name="Soft Costs" sheetId="4" state="visible" r:id="rId4"/>
    <sheet name="Revenue" sheetId="5" state="visible" r:id="rId5"/>
    <sheet name="Project Deal Structure" sheetId="6" state="visible" r:id="rId6"/>
    <sheet name="24-Month Cash Flow" sheetId="7" state="visible" r:id="rId7"/>
    <sheet name="GC RFQ Summary" sheetId="8" state="visible" r:id="rId8"/>
    <sheet name="Sync Instructions" sheetId="9" state="visible" r:id="rId9"/>
  </sheets>
  <definedNames>
    <definedName name="TotalProjectCost">Summary!$B$8</definedName>
    <definedName name="TotalNSF">Assumptions!$B$6</definedName>
    <definedName name="LandPartner_Land">Assumptions!$B$11</definedName>
    <definedName name="LandPartner_Cash1">Assumptions!$B$12</definedName>
    <definedName name="LandPartner_Cash2">Assumptions!$B$13</definedName>
    <definedName name="LandPartner_Deferred">Assumptions!$B$14</definedName>
    <definedName name="GC_OHP">Assumptions!$B$18</definedName>
    <definedName name="GC_GC">Assumptions!$B$19</definedName>
    <definedName name="Design_Cont">Assumptions!$B$20</definedName>
    <definedName name="Constr_Cont">Assumptions!$B$21</definedName>
    <definedName name="Owner_Cont">Assumptions!$B$22</definedName>
    <definedName name="AE_Rate">Assumptions!$B$23</definedName>
    <definedName name="Marketing_Rate">Assumptions!$B$24</definedName>
    <definedName name="Finance_Rate">Assumptions!$B$25</definedName>
    <definedName name="LTC">Assumptions!$B$26</definedName>
    <definedName name="Duration">Assumptions!$B$27</definedName>
    <definedName name="ConstructionSubtotal">'Hard Costs'!$E$27</definedName>
    <definedName name="TotalHardCosts">'Hard Costs'!$E$38</definedName>
    <definedName name="TotalSoftCosts">'Soft Costs'!$B$20</definedName>
    <definedName name="TotalRevenue">'Revenue'!$F$9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$#,##0.00"/>
  </numFmts>
  <fonts count="14">
    <font>
      <name val="Calibri"/>
      <family val="2"/>
      <color theme="1"/>
      <sz val="11"/>
      <scheme val="minor"/>
    </font>
    <font>
      <b val="1"/>
      <sz val="16"/>
    </font>
    <font>
      <b val="1"/>
      <color rgb="00FFFFFF"/>
      <sz val="14"/>
    </font>
    <font>
      <b val="1"/>
      <sz val="12"/>
    </font>
    <font>
      <b val="1"/>
    </font>
    <font>
      <b val="1"/>
      <sz val="14"/>
    </font>
    <font>
      <b val="1"/>
      <color rgb="00FFFFFF"/>
      <sz val="12"/>
    </font>
    <font>
      <b val="1"/>
      <color rgb="00FFFFFF"/>
    </font>
    <font>
      <b val="1"/>
      <color rgb="000000FF"/>
    </font>
    <font>
      <b val="1"/>
      <color rgb="00FF0000"/>
    </font>
    <font>
      <i val="1"/>
    </font>
    <font>
      <b val="1"/>
      <color rgb="00008000"/>
      <sz val="12"/>
    </font>
    <font>
      <b val="1"/>
      <color rgb="00FF0000"/>
      <sz val="12"/>
    </font>
    <font>
      <b val="1"/>
      <color rgb="00008000"/>
      <sz val="14"/>
    </font>
  </fonts>
  <fills count="10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D700"/>
        <bgColor rgb="00FFD700"/>
      </patternFill>
    </fill>
    <fill>
      <patternFill patternType="solid">
        <fgColor rgb="00FFFF99"/>
        <bgColor rgb="00FFFF99"/>
      </patternFill>
    </fill>
    <fill>
      <patternFill patternType="solid">
        <fgColor rgb="00D3D3D3"/>
        <bgColor rgb="00D3D3D3"/>
      </patternFill>
    </fill>
    <fill>
      <patternFill patternType="solid">
        <fgColor rgb="00E6F3FF"/>
        <bgColor rgb="00E6F3FF"/>
      </patternFill>
    </fill>
    <fill>
      <patternFill patternType="solid">
        <fgColor rgb="00FFE6E6"/>
        <bgColor rgb="00FFE6E6"/>
      </patternFill>
    </fill>
    <fill>
      <patternFill patternType="solid">
        <fgColor rgb="00FFFF00"/>
        <bgColor rgb="00FFFF00"/>
      </patternFill>
    </fill>
    <fill>
      <patternFill patternType="solid">
        <fgColor rgb="0090EE90"/>
        <bgColor rgb="0090EE9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4" fontId="3" fillId="3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7" fillId="2" borderId="0" pivotButton="0" quotePrefix="0" xfId="0"/>
    <xf numFmtId="166" fontId="0" fillId="4" borderId="0" pivotButton="0" quotePrefix="0" xfId="0"/>
    <xf numFmtId="164" fontId="0" fillId="5" borderId="0" pivotButton="0" quotePrefix="0" xfId="0"/>
    <xf numFmtId="166" fontId="4" fillId="0" borderId="0" pivotButton="0" quotePrefix="0" xfId="0"/>
    <xf numFmtId="0" fontId="8" fillId="6" borderId="0" pivotButton="0" quotePrefix="0" xfId="0"/>
    <xf numFmtId="0" fontId="9" fillId="7" borderId="0" pivotButton="0" quotePrefix="0" xfId="0"/>
    <xf numFmtId="0" fontId="10" fillId="0" borderId="0" pivotButton="0" quotePrefix="0" xfId="0"/>
    <xf numFmtId="0" fontId="4" fillId="8" borderId="0" pivotButton="0" quotePrefix="0" xfId="0"/>
    <xf numFmtId="0" fontId="0" fillId="9" borderId="0" pivotButton="0" quotePrefix="0" xfId="0"/>
    <xf numFmtId="0" fontId="9" fillId="0" borderId="0" pivotButton="0" quotePrefix="0" xfId="0"/>
    <xf numFmtId="0" fontId="0" fillId="8" borderId="0" pivotButton="0" quotePrefix="0" xfId="0"/>
    <xf numFmtId="0" fontId="0" fillId="3" borderId="0" pivotButton="0" quotePrefix="0" xfId="0"/>
    <xf numFmtId="0" fontId="11" fillId="8" borderId="0" pivotButton="0" quotePrefix="0" xfId="0"/>
    <xf numFmtId="164" fontId="0" fillId="8" borderId="0" pivotButton="0" quotePrefix="0" xfId="0"/>
    <xf numFmtId="0" fontId="12" fillId="0" borderId="0" pivotButton="0" quotePrefix="0" xfId="0"/>
    <xf numFmtId="164" fontId="3" fillId="8" borderId="0" pivotButton="0" quotePrefix="0" xfId="0"/>
    <xf numFmtId="9" fontId="0" fillId="0" borderId="0" pivotButton="0" quotePrefix="0" xfId="0"/>
    <xf numFmtId="3" fontId="0" fillId="5" borderId="0" pivotButton="0" quotePrefix="0" xfId="0"/>
    <xf numFmtId="3" fontId="4" fillId="3" borderId="0" pivotButton="0" quotePrefix="0" xfId="0"/>
    <xf numFmtId="3" fontId="4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2" customWidth="1" min="1" max="1"/>
    <col width="38" customWidth="1" min="2" max="2"/>
    <col width="34" customWidth="1" min="3" max="3"/>
    <col width="10" customWidth="1" min="4" max="4"/>
  </cols>
  <sheetData>
    <row r="1">
      <c r="A1" s="1" t="inlineStr">
        <is>
          <t>NEVO TOWER - EXECUTIVE SUMMARY</t>
        </is>
      </c>
    </row>
    <row r="2">
      <c r="A2" t="inlineStr">
        <is>
          <t>Generated: 2025-11-06 00:23</t>
        </is>
      </c>
    </row>
    <row r="3"/>
    <row r="4">
      <c r="A4" s="2" t="inlineStr">
        <is>
          <t>TOTAL DEVELOPMENT COST</t>
        </is>
      </c>
    </row>
    <row r="5">
      <c r="A5" t="inlineStr">
        <is>
          <t>SC Cash Payment (Project Cost)</t>
        </is>
      </c>
      <c r="B5" s="3">
        <f>LandPartner_Cash1+LandPartner_Cash2</f>
        <v/>
      </c>
      <c r="C5" s="4">
        <f>B5/TotalProjectCost</f>
        <v/>
      </c>
    </row>
    <row r="6">
      <c r="A6" t="inlineStr">
        <is>
          <t>Hard Costs</t>
        </is>
      </c>
      <c r="B6" s="3">
        <f>TotalHardCosts</f>
        <v/>
      </c>
      <c r="C6" s="4">
        <f>TotalHardCosts/TotalProjectCost</f>
        <v/>
      </c>
    </row>
    <row r="7">
      <c r="A7" t="inlineStr">
        <is>
          <t>Soft Costs</t>
        </is>
      </c>
      <c r="B7" s="3">
        <f>TotalSoftCosts</f>
        <v/>
      </c>
      <c r="C7" s="4">
        <f>TotalSoftCosts/TotalProjectCost</f>
        <v/>
      </c>
    </row>
    <row r="8">
      <c r="A8" s="5" t="inlineStr">
        <is>
          <t>TOTAL PROJECT COST</t>
        </is>
      </c>
      <c r="B8" s="6">
        <f>SUM(B5:B7)</f>
        <v/>
      </c>
      <c r="C8" t="inlineStr">
        <is>
          <t>100%</t>
        </is>
      </c>
    </row>
    <row r="9"/>
    <row r="10">
      <c r="A10" s="2" t="inlineStr">
        <is>
          <t>REVENUE</t>
        </is>
      </c>
    </row>
    <row r="11">
      <c r="A11" t="inlineStr">
        <is>
          <t>Total Revenue</t>
        </is>
      </c>
      <c r="B11" s="6">
        <f>TotalRevenue</f>
        <v/>
      </c>
    </row>
    <row r="12"/>
    <row r="13">
      <c r="A13" s="2" t="inlineStr">
        <is>
          <t>PROFITABILITY</t>
        </is>
      </c>
    </row>
    <row r="14">
      <c r="A14" t="inlineStr">
        <is>
          <t>Gross Profit</t>
        </is>
      </c>
      <c r="B14" s="7">
        <f>B11-B8</f>
        <v/>
      </c>
      <c r="C14" s="4">
        <f>(B11-B8)/B11</f>
        <v/>
      </c>
    </row>
    <row r="15">
      <c r="A15" t="inlineStr">
        <is>
          <t>Profit Margin</t>
        </is>
      </c>
      <c r="B15" s="8">
        <f>B14/B11</f>
        <v/>
      </c>
    </row>
    <row r="16">
      <c r="A16" t="inlineStr">
        <is>
          <t>Return on Cost (ROI)</t>
        </is>
      </c>
      <c r="B16" s="8">
        <f>B14/B8</f>
        <v/>
      </c>
    </row>
    <row r="17"/>
    <row r="18">
      <c r="A18" t="inlineStr">
        <is>
          <t>Cost per Unit</t>
        </is>
      </c>
      <c r="B18" s="3">
        <f>B8/50</f>
        <v/>
      </c>
    </row>
    <row r="19">
      <c r="A19" t="inlineStr">
        <is>
          <t>Cost per NSF</t>
        </is>
      </c>
      <c r="B19" s="9">
        <f>B8/TotalNSF</f>
        <v/>
      </c>
    </row>
    <row r="20">
      <c r="A20" t="inlineStr">
        <is>
          <t>Revenue per NSF</t>
        </is>
      </c>
      <c r="B20" s="9">
        <f>B11/TotalNSF</f>
        <v/>
      </c>
    </row>
  </sheetData>
  <mergeCells count="5">
    <mergeCell ref="A1:D1"/>
    <mergeCell ref="A4:D4"/>
    <mergeCell ref="A2:D2"/>
    <mergeCell ref="A10:D10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44" customWidth="1" min="1" max="1"/>
    <col width="21" customWidth="1" min="2" max="2"/>
    <col width="17" customWidth="1" min="3" max="3"/>
    <col width="50" customWidth="1" min="4" max="4"/>
  </cols>
  <sheetData>
    <row r="1">
      <c r="A1" s="10" t="inlineStr">
        <is>
          <t>NEVO TOWER - PROJECT ASSUMPTIONS</t>
        </is>
      </c>
    </row>
    <row r="2"/>
    <row r="3">
      <c r="A3" s="11" t="inlineStr">
        <is>
          <t>PROJECT INFORMATION</t>
        </is>
      </c>
    </row>
    <row r="4"/>
    <row r="5">
      <c r="A5" t="inlineStr">
        <is>
          <t>Total GSF</t>
        </is>
      </c>
      <c r="B5" s="12" t="n">
        <v>108675</v>
      </c>
      <c r="C5" t="inlineStr">
        <is>
          <t>100%</t>
        </is>
      </c>
    </row>
    <row r="6">
      <c r="A6" t="inlineStr">
        <is>
          <t>Total NSF</t>
        </is>
      </c>
      <c r="B6" s="12" t="n">
        <v>86940</v>
      </c>
      <c r="C6" s="4">
        <f>86940/108675</f>
        <v/>
      </c>
    </row>
    <row r="7">
      <c r="A7" t="inlineStr">
        <is>
          <t>Residential Units</t>
        </is>
      </c>
      <c r="B7" t="n">
        <v>50</v>
      </c>
      <c r="C7" t="inlineStr">
        <is>
          <t>100%</t>
        </is>
      </c>
    </row>
    <row r="8"/>
    <row r="9">
      <c r="A9" s="11" t="inlineStr">
        <is>
          <t>LAND PARTNER STRUCTURE</t>
        </is>
      </c>
    </row>
    <row r="10"/>
    <row r="11">
      <c r="A11" t="inlineStr">
        <is>
          <t>Land Partner - Land (In-Kind)</t>
        </is>
      </c>
      <c r="B11" s="13" t="n">
        <v>8000000</v>
      </c>
      <c r="C11" s="4">
        <f>B11/10000000</f>
        <v/>
      </c>
      <c r="D11" t="inlineStr">
        <is>
          <t>Land value $10M total - $2M paid cash</t>
        </is>
      </c>
    </row>
    <row r="12">
      <c r="A12" t="inlineStr">
        <is>
          <t>SC Key Money (Month 0)</t>
        </is>
      </c>
      <c r="B12" s="13" t="n">
        <v>1250000</v>
      </c>
      <c r="C12" s="4">
        <f>B12/2000000</f>
        <v/>
      </c>
      <c r="D12" t="inlineStr">
        <is>
          <t>Developer pays SC to enter deal</t>
        </is>
      </c>
    </row>
    <row r="13">
      <c r="A13" t="inlineStr">
        <is>
          <t>SC Payment (Month 6)</t>
        </is>
      </c>
      <c r="B13" s="13" t="n">
        <v>750000</v>
      </c>
      <c r="C13" s="4">
        <f>B13/2000000</f>
        <v/>
      </c>
      <c r="D13" t="inlineStr">
        <is>
          <t>Additional payment to SC</t>
        </is>
      </c>
    </row>
    <row r="14">
      <c r="A14" t="inlineStr">
        <is>
          <t>Land Partner - Deferred Payment</t>
        </is>
      </c>
      <c r="B14" s="13" t="n">
        <v>0</v>
      </c>
      <c r="C14" t="inlineStr">
        <is>
          <t>0%</t>
        </is>
      </c>
      <c r="D14" t="inlineStr">
        <is>
          <t>$8M paid at exit (NOT a cost)</t>
        </is>
      </c>
    </row>
    <row r="15"/>
    <row r="16">
      <c r="A16" s="11" t="inlineStr">
        <is>
          <t>COST ASSUMPTIONS</t>
        </is>
      </c>
    </row>
    <row r="17"/>
    <row r="18">
      <c r="A18" t="inlineStr">
        <is>
          <t>GC Overhead &amp; Profit</t>
        </is>
      </c>
      <c r="B18" s="14" t="n">
        <v>0.1</v>
      </c>
      <c r="C18" t="inlineStr">
        <is>
          <t>%</t>
        </is>
      </c>
    </row>
    <row r="19">
      <c r="A19" t="inlineStr">
        <is>
          <t>General Conditions</t>
        </is>
      </c>
      <c r="B19" s="14" t="n">
        <v>0.09</v>
      </c>
      <c r="C19" t="inlineStr">
        <is>
          <t>%</t>
        </is>
      </c>
    </row>
    <row r="20">
      <c r="A20" t="inlineStr">
        <is>
          <t>Design Contingency</t>
        </is>
      </c>
      <c r="B20" s="14" t="n">
        <v>0.08</v>
      </c>
      <c r="C20" t="inlineStr">
        <is>
          <t>%</t>
        </is>
      </c>
    </row>
    <row r="21">
      <c r="A21" t="inlineStr">
        <is>
          <t>Construction Contingency</t>
        </is>
      </c>
      <c r="B21" s="14" t="n">
        <v>0.05</v>
      </c>
      <c r="C21" t="inlineStr">
        <is>
          <t>%</t>
        </is>
      </c>
    </row>
    <row r="22">
      <c r="A22" t="inlineStr">
        <is>
          <t>Owner Contingency</t>
        </is>
      </c>
      <c r="B22" s="14" t="n">
        <v>0.03</v>
      </c>
      <c r="C22" t="inlineStr">
        <is>
          <t>%</t>
        </is>
      </c>
    </row>
    <row r="23">
      <c r="A23" t="inlineStr">
        <is>
          <t>A&amp;E Fee Rate</t>
        </is>
      </c>
      <c r="B23" s="14" t="n">
        <v>0.038</v>
      </c>
      <c r="C23" t="inlineStr">
        <is>
          <t>%</t>
        </is>
      </c>
    </row>
    <row r="24">
      <c r="A24" t="inlineStr">
        <is>
          <t>Marketing Rate</t>
        </is>
      </c>
      <c r="B24" s="14" t="n">
        <v>0.02</v>
      </c>
      <c r="C24" t="inlineStr">
        <is>
          <t>%</t>
        </is>
      </c>
    </row>
    <row r="25">
      <c r="A25" t="inlineStr">
        <is>
          <t>Financing Rate</t>
        </is>
      </c>
      <c r="B25" s="14" t="n">
        <v>0.08500000000000001</v>
      </c>
      <c r="C25" t="inlineStr">
        <is>
          <t>%</t>
        </is>
      </c>
    </row>
    <row r="26">
      <c r="A26" t="inlineStr">
        <is>
          <t>Loan to Cost</t>
        </is>
      </c>
      <c r="B26" s="14" t="n">
        <v>0.75</v>
      </c>
      <c r="C26" t="inlineStr">
        <is>
          <t>%</t>
        </is>
      </c>
    </row>
    <row r="27">
      <c r="A27" t="inlineStr">
        <is>
          <t>Construction Duration</t>
        </is>
      </c>
      <c r="B27" s="15" t="n">
        <v>24</v>
      </c>
      <c r="C27" t="inlineStr">
        <is>
          <t>months</t>
        </is>
      </c>
    </row>
    <row r="28">
      <c r="A28" t="inlineStr">
        <is>
          <t>Bridge Loan Duration</t>
        </is>
      </c>
      <c r="B28" s="15" t="n">
        <v>9</v>
      </c>
      <c r="C28" t="inlineStr">
        <is>
          <t>months</t>
        </is>
      </c>
    </row>
    <row r="29"/>
    <row r="30"/>
    <row r="31"/>
    <row r="32">
      <c r="A32" s="11" t="inlineStr">
        <is>
          <t>NAMED RANGES - How Formulas Connect Sheets</t>
        </is>
      </c>
    </row>
    <row r="33">
      <c r="A33" s="16" t="inlineStr">
        <is>
          <t>Range Name</t>
        </is>
      </c>
      <c r="B33" s="16" t="inlineStr">
        <is>
          <t>Location</t>
        </is>
      </c>
      <c r="C33" s="16" t="inlineStr">
        <is>
          <t>Value</t>
        </is>
      </c>
      <c r="D33" s="16" t="inlineStr">
        <is>
          <t>Description</t>
        </is>
      </c>
    </row>
    <row r="34">
      <c r="A34" t="inlineStr">
        <is>
          <t>LandPartner_Land</t>
        </is>
      </c>
      <c r="B34" t="inlineStr">
        <is>
          <t>B11</t>
        </is>
      </c>
      <c r="C34">
        <f>B11</f>
        <v/>
      </c>
      <c r="D34" t="inlineStr">
        <is>
          <t>80% - SC land in-kind ($8M)</t>
        </is>
      </c>
    </row>
    <row r="35">
      <c r="A35" t="inlineStr">
        <is>
          <t>LandPartner_Cash1</t>
        </is>
      </c>
      <c r="B35" t="inlineStr">
        <is>
          <t>B12</t>
        </is>
      </c>
      <c r="C35">
        <f>B12</f>
        <v/>
      </c>
      <c r="D35" t="inlineStr">
        <is>
          <t>62.5% - SC cash Month 0 ($1.25M)</t>
        </is>
      </c>
    </row>
    <row r="36">
      <c r="A36" t="inlineStr">
        <is>
          <t>LandPartner_Cash2</t>
        </is>
      </c>
      <c r="B36" t="inlineStr">
        <is>
          <t>B13</t>
        </is>
      </c>
      <c r="C36">
        <f>B13</f>
        <v/>
      </c>
      <c r="D36" t="inlineStr">
        <is>
          <t>37.5% - SC cash Month 6 ($750K)</t>
        </is>
      </c>
    </row>
    <row r="37">
      <c r="A37" t="inlineStr">
        <is>
          <t>TotalHardCosts</t>
        </is>
      </c>
      <c r="B37" t="inlineStr">
        <is>
          <t>'Hard Costs'!E[row]</t>
        </is>
      </c>
      <c r="C37">
        <f>TotalHardCosts</f>
        <v/>
      </c>
      <c r="D37" t="inlineStr">
        <is>
          <t>~85% - All construction costs</t>
        </is>
      </c>
    </row>
    <row r="38">
      <c r="A38" t="inlineStr">
        <is>
          <t>TotalSoftCosts</t>
        </is>
      </c>
      <c r="B38" t="inlineStr">
        <is>
          <t>'Soft Costs'!B[row]</t>
        </is>
      </c>
      <c r="C38">
        <f>TotalSoftCosts</f>
        <v/>
      </c>
      <c r="D38" t="inlineStr">
        <is>
          <t>~12% - Design, permits, financing</t>
        </is>
      </c>
    </row>
    <row r="39">
      <c r="A39" t="inlineStr">
        <is>
          <t>TotalRevenue</t>
        </is>
      </c>
      <c r="B39" t="inlineStr">
        <is>
          <t>'Revenue'!F[row]</t>
        </is>
      </c>
      <c r="C39">
        <f>TotalRevenue</f>
        <v/>
      </c>
      <c r="D39" t="inlineStr">
        <is>
          <t>100% - Total project revenue</t>
        </is>
      </c>
    </row>
    <row r="40">
      <c r="A40" t="inlineStr">
        <is>
          <t>GC_OHP</t>
        </is>
      </c>
      <c r="B40" t="inlineStr">
        <is>
          <t>B18</t>
        </is>
      </c>
      <c r="C40">
        <f>GC_OHP</f>
        <v/>
      </c>
      <c r="D40" t="inlineStr">
        <is>
          <t>10% - GC overhead &amp; profit rate</t>
        </is>
      </c>
    </row>
    <row r="41">
      <c r="A41" t="inlineStr">
        <is>
          <t>AE_Rate</t>
        </is>
      </c>
      <c r="B41" t="inlineStr">
        <is>
          <t>B23</t>
        </is>
      </c>
      <c r="C41">
        <f>AE_Rate</f>
        <v/>
      </c>
      <c r="D41" t="inlineStr">
        <is>
          <t>3.8% - Architecture &amp; engineering fee</t>
        </is>
      </c>
    </row>
    <row r="42">
      <c r="A42" t="inlineStr">
        <is>
          <t>Marketing_Rate</t>
        </is>
      </c>
      <c r="B42" t="inlineStr">
        <is>
          <t>B24</t>
        </is>
      </c>
      <c r="C42">
        <f>Marketing_Rate</f>
        <v/>
      </c>
      <c r="D42" t="inlineStr">
        <is>
          <t>2.0% - Marketing &amp; sales rate</t>
        </is>
      </c>
    </row>
    <row r="43">
      <c r="A43" t="inlineStr">
        <is>
          <t>LTC</t>
        </is>
      </c>
      <c r="B43" t="inlineStr">
        <is>
          <t>B26</t>
        </is>
      </c>
      <c r="C43">
        <f>LTC</f>
        <v/>
      </c>
      <c r="D43" t="inlineStr">
        <is>
          <t>75% - Loan-to-cost ratio</t>
        </is>
      </c>
    </row>
    <row r="44"/>
    <row r="45">
      <c r="A45" s="16" t="inlineStr">
        <is>
          <t>HOW TO USE NAMED RANGES:</t>
        </is>
      </c>
      <c r="D45" t="inlineStr">
        <is>
          <t>Type = then the range name in any formula</t>
        </is>
      </c>
    </row>
    <row r="46">
      <c r="A46" t="inlineStr">
        <is>
          <t>Example:</t>
        </is>
      </c>
      <c r="D46">
        <f>TotalHardCosts*0.05 calculates 5% of hard costs</f>
        <v/>
      </c>
    </row>
  </sheetData>
  <mergeCells count="5">
    <mergeCell ref="A1:D1"/>
    <mergeCell ref="A9:D9"/>
    <mergeCell ref="A3:D3"/>
    <mergeCell ref="A16:D16"/>
    <mergeCell ref="A32:D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1" customWidth="1" min="1" max="1"/>
    <col width="33" customWidth="1" min="2" max="2"/>
    <col width="14" customWidth="1" min="3" max="3"/>
    <col width="10" customWidth="1" min="4" max="4"/>
    <col width="19" customWidth="1" min="5" max="5"/>
  </cols>
  <sheetData>
    <row r="1">
      <c r="A1" s="10" t="inlineStr">
        <is>
          <t>HARD COSTS - CSI MASTERFORMAT DIVISIONS</t>
        </is>
      </c>
    </row>
    <row r="2"/>
    <row r="3">
      <c r="A3" s="17" t="inlineStr">
        <is>
          <t>CSI</t>
        </is>
      </c>
      <c r="B3" s="17" t="inlineStr">
        <is>
          <t>Description</t>
        </is>
      </c>
      <c r="C3" s="17" t="inlineStr">
        <is>
          <t>Rate ($/GSF)</t>
        </is>
      </c>
      <c r="D3" s="17" t="inlineStr">
        <is>
          <t>GSF</t>
        </is>
      </c>
      <c r="E3" s="17" t="inlineStr">
        <is>
          <t>Total Cost</t>
        </is>
      </c>
    </row>
    <row r="4">
      <c r="A4" t="inlineStr">
        <is>
          <t>01</t>
        </is>
      </c>
      <c r="B4" t="inlineStr">
        <is>
          <t>General Requirements</t>
        </is>
      </c>
      <c r="C4" s="18" t="n">
        <v>10.53</v>
      </c>
      <c r="D4" s="12" t="n">
        <v>108675</v>
      </c>
      <c r="E4" s="3">
        <f>C4*D4</f>
        <v/>
      </c>
    </row>
    <row r="5">
      <c r="A5" t="inlineStr">
        <is>
          <t>02</t>
        </is>
      </c>
      <c r="B5" t="inlineStr">
        <is>
          <t>Existing Conditions &amp; Site Work</t>
        </is>
      </c>
      <c r="C5" s="18" t="n">
        <v>4.56</v>
      </c>
      <c r="D5" s="12" t="n">
        <v>108675</v>
      </c>
      <c r="E5" s="3">
        <f>C5*D5</f>
        <v/>
      </c>
    </row>
    <row r="6">
      <c r="A6" t="inlineStr">
        <is>
          <t>03</t>
        </is>
      </c>
      <c r="B6" t="inlineStr">
        <is>
          <t>Concrete - Pour-in-Place PT</t>
        </is>
      </c>
      <c r="C6" s="18" t="n">
        <v>39.47</v>
      </c>
      <c r="D6" s="12" t="n">
        <v>108675</v>
      </c>
      <c r="E6" s="3">
        <f>C6*D6</f>
        <v/>
      </c>
    </row>
    <row r="7">
      <c r="A7" t="inlineStr">
        <is>
          <t>04</t>
        </is>
      </c>
      <c r="B7" t="inlineStr">
        <is>
          <t>Masonry</t>
        </is>
      </c>
      <c r="C7" s="18" t="n">
        <v>2.46</v>
      </c>
      <c r="D7" s="12" t="n">
        <v>108675</v>
      </c>
      <c r="E7" s="3">
        <f>C7*D7</f>
        <v/>
      </c>
    </row>
    <row r="8">
      <c r="A8" t="inlineStr">
        <is>
          <t>05</t>
        </is>
      </c>
      <c r="B8" t="inlineStr">
        <is>
          <t>Metals</t>
        </is>
      </c>
      <c r="C8" s="18" t="n">
        <v>7.45</v>
      </c>
      <c r="D8" s="12" t="n">
        <v>108675</v>
      </c>
      <c r="E8" s="3">
        <f>C8*D8</f>
        <v/>
      </c>
    </row>
    <row r="9">
      <c r="A9" t="inlineStr">
        <is>
          <t>06</t>
        </is>
      </c>
      <c r="B9" t="inlineStr">
        <is>
          <t>Wood &amp; Plastics</t>
        </is>
      </c>
      <c r="C9" s="18" t="n">
        <v>2.81</v>
      </c>
      <c r="D9" s="12" t="n">
        <v>108675</v>
      </c>
      <c r="E9" s="3">
        <f>C9*D9</f>
        <v/>
      </c>
    </row>
    <row r="10">
      <c r="A10" t="inlineStr">
        <is>
          <t>07</t>
        </is>
      </c>
      <c r="B10" t="inlineStr">
        <is>
          <t>Thermal &amp; Moisture Protection</t>
        </is>
      </c>
      <c r="C10" s="18" t="n">
        <v>19.3</v>
      </c>
      <c r="D10" s="12" t="n">
        <v>108675</v>
      </c>
      <c r="E10" s="3">
        <f>C10*D10</f>
        <v/>
      </c>
    </row>
    <row r="11">
      <c r="A11" t="inlineStr">
        <is>
          <t>08</t>
        </is>
      </c>
      <c r="B11" t="inlineStr">
        <is>
          <t>Openings (Doors, Windows, HVHZ)</t>
        </is>
      </c>
      <c r="C11" s="18" t="n">
        <v>24.55</v>
      </c>
      <c r="D11" s="12" t="n">
        <v>108675</v>
      </c>
      <c r="E11" s="3">
        <f>C11*D11</f>
        <v/>
      </c>
    </row>
    <row r="12">
      <c r="A12" t="inlineStr">
        <is>
          <t>09</t>
        </is>
      </c>
      <c r="B12" t="inlineStr">
        <is>
          <t>Finishes</t>
        </is>
      </c>
      <c r="C12" s="18" t="n">
        <v>36.83</v>
      </c>
      <c r="D12" s="12" t="n">
        <v>108675</v>
      </c>
      <c r="E12" s="3">
        <f>C12*D12</f>
        <v/>
      </c>
    </row>
    <row r="13">
      <c r="A13" t="inlineStr">
        <is>
          <t>10</t>
        </is>
      </c>
      <c r="B13" t="inlineStr">
        <is>
          <t>Specialties</t>
        </is>
      </c>
      <c r="C13" s="18" t="n">
        <v>3.95</v>
      </c>
      <c r="D13" s="12" t="n">
        <v>108675</v>
      </c>
      <c r="E13" s="3">
        <f>C13*D13</f>
        <v/>
      </c>
    </row>
    <row r="14">
      <c r="A14" t="inlineStr">
        <is>
          <t>11</t>
        </is>
      </c>
      <c r="B14" t="inlineStr">
        <is>
          <t>Equipment</t>
        </is>
      </c>
      <c r="C14" s="18" t="n">
        <v>3.33</v>
      </c>
      <c r="D14" s="12" t="n">
        <v>108675</v>
      </c>
      <c r="E14" s="3">
        <f>C14*D14</f>
        <v/>
      </c>
    </row>
    <row r="15">
      <c r="A15" t="inlineStr">
        <is>
          <t>12</t>
        </is>
      </c>
      <c r="B15" t="inlineStr">
        <is>
          <t>Furnishings</t>
        </is>
      </c>
      <c r="C15" s="18" t="n">
        <v>1.05</v>
      </c>
      <c r="D15" s="12" t="n">
        <v>108675</v>
      </c>
      <c r="E15" s="3">
        <f>C15*D15</f>
        <v/>
      </c>
    </row>
    <row r="16">
      <c r="A16" t="inlineStr">
        <is>
          <t>13</t>
        </is>
      </c>
      <c r="B16" t="inlineStr">
        <is>
          <t>Special Construction</t>
        </is>
      </c>
      <c r="C16" s="18" t="n">
        <v>1.58</v>
      </c>
      <c r="D16" s="12" t="n">
        <v>108675</v>
      </c>
      <c r="E16" s="3">
        <f>C16*D16</f>
        <v/>
      </c>
    </row>
    <row r="17">
      <c r="A17" t="inlineStr">
        <is>
          <t>14</t>
        </is>
      </c>
      <c r="B17" t="inlineStr">
        <is>
          <t>Conveying Equipment</t>
        </is>
      </c>
      <c r="C17" s="18" t="n">
        <v>2.72</v>
      </c>
      <c r="D17" s="12" t="n">
        <v>108675</v>
      </c>
      <c r="E17" s="3">
        <f>C17*D17</f>
        <v/>
      </c>
    </row>
    <row r="18">
      <c r="A18" t="inlineStr">
        <is>
          <t>21</t>
        </is>
      </c>
      <c r="B18" t="inlineStr">
        <is>
          <t>Fire Suppression</t>
        </is>
      </c>
      <c r="C18" s="18" t="n">
        <v>6.58</v>
      </c>
      <c r="D18" s="12" t="n">
        <v>108675</v>
      </c>
      <c r="E18" s="3">
        <f>C18*D18</f>
        <v/>
      </c>
    </row>
    <row r="19">
      <c r="A19" t="inlineStr">
        <is>
          <t>22</t>
        </is>
      </c>
      <c r="B19" t="inlineStr">
        <is>
          <t>Plumbing</t>
        </is>
      </c>
      <c r="C19" s="18" t="n">
        <v>8.77</v>
      </c>
      <c r="D19" s="12" t="n">
        <v>108675</v>
      </c>
      <c r="E19" s="3">
        <f>C19*D19</f>
        <v/>
      </c>
    </row>
    <row r="20">
      <c r="A20" t="inlineStr">
        <is>
          <t>23</t>
        </is>
      </c>
      <c r="B20" t="inlineStr">
        <is>
          <t>HVAC</t>
        </is>
      </c>
      <c r="C20" s="18" t="n">
        <v>13.15</v>
      </c>
      <c r="D20" s="12" t="n">
        <v>108675</v>
      </c>
      <c r="E20" s="3">
        <f>C20*D20</f>
        <v/>
      </c>
    </row>
    <row r="21">
      <c r="A21" t="inlineStr">
        <is>
          <t>26</t>
        </is>
      </c>
      <c r="B21" t="inlineStr">
        <is>
          <t>Electrical</t>
        </is>
      </c>
      <c r="C21" s="18" t="n">
        <v>13.15</v>
      </c>
      <c r="D21" s="12" t="n">
        <v>108675</v>
      </c>
      <c r="E21" s="3">
        <f>C21*D21</f>
        <v/>
      </c>
    </row>
    <row r="22">
      <c r="A22" t="inlineStr">
        <is>
          <t>27</t>
        </is>
      </c>
      <c r="B22" t="inlineStr">
        <is>
          <t>Communications</t>
        </is>
      </c>
      <c r="C22" s="18" t="n">
        <v>1.75</v>
      </c>
      <c r="D22" s="12" t="n">
        <v>108675</v>
      </c>
      <c r="E22" s="3">
        <f>C22*D22</f>
        <v/>
      </c>
    </row>
    <row r="23">
      <c r="A23" t="inlineStr">
        <is>
          <t>28</t>
        </is>
      </c>
      <c r="B23" t="inlineStr">
        <is>
          <t>Electronic Safety &amp; Security</t>
        </is>
      </c>
      <c r="C23" s="18" t="n">
        <v>1.75</v>
      </c>
      <c r="D23" s="12" t="n">
        <v>108675</v>
      </c>
      <c r="E23" s="3">
        <f>C23*D23</f>
        <v/>
      </c>
    </row>
    <row r="24">
      <c r="A24" t="inlineStr">
        <is>
          <t>31</t>
        </is>
      </c>
      <c r="B24" t="inlineStr">
        <is>
          <t>Earthwork</t>
        </is>
      </c>
      <c r="C24" s="18" t="n">
        <v>3.68</v>
      </c>
      <c r="D24" s="12" t="n">
        <v>108675</v>
      </c>
      <c r="E24" s="3">
        <f>C24*D24</f>
        <v/>
      </c>
    </row>
    <row r="25">
      <c r="A25" t="inlineStr">
        <is>
          <t>32</t>
        </is>
      </c>
      <c r="B25" t="inlineStr">
        <is>
          <t>Exterior Improvements</t>
        </is>
      </c>
      <c r="C25" s="18" t="n">
        <v>3.51</v>
      </c>
      <c r="D25" s="12" t="n">
        <v>108675</v>
      </c>
      <c r="E25" s="3">
        <f>C25*D25</f>
        <v/>
      </c>
    </row>
    <row r="26">
      <c r="A26" t="inlineStr">
        <is>
          <t>33</t>
        </is>
      </c>
      <c r="B26" t="inlineStr">
        <is>
          <t>Utilities</t>
        </is>
      </c>
      <c r="C26" s="18" t="n">
        <v>2.81</v>
      </c>
      <c r="D26" s="12" t="n">
        <v>108675</v>
      </c>
      <c r="E26" s="3">
        <f>C26*D26</f>
        <v/>
      </c>
    </row>
    <row r="27">
      <c r="B27" s="16" t="inlineStr">
        <is>
          <t>SUBTOTAL - Construction</t>
        </is>
      </c>
      <c r="E27" s="19">
        <f>SUM(E4:E26)</f>
        <v/>
      </c>
    </row>
    <row r="28"/>
    <row r="29">
      <c r="B29" t="inlineStr">
        <is>
          <t>General Conditions</t>
        </is>
      </c>
      <c r="C29" s="4">
        <f>GC_GC</f>
        <v/>
      </c>
      <c r="E29" s="3">
        <f>E27*GC_GC</f>
        <v/>
      </c>
    </row>
    <row r="30">
      <c r="B30" t="inlineStr">
        <is>
          <t>Overhead &amp; Profit</t>
        </is>
      </c>
      <c r="C30" s="4">
        <f>GC_OHP</f>
        <v/>
      </c>
      <c r="E30" s="3">
        <f>(E27+E29)*GC_OHP</f>
        <v/>
      </c>
    </row>
    <row r="31"/>
    <row r="32">
      <c r="B32" s="16" t="inlineStr">
        <is>
          <t>Subtotal before Contingency</t>
        </is>
      </c>
      <c r="E32" s="19">
        <f>E27+E29+E30</f>
        <v/>
      </c>
    </row>
    <row r="33"/>
    <row r="34">
      <c r="B34" t="inlineStr">
        <is>
          <t>Design Contingency</t>
        </is>
      </c>
      <c r="C34" s="4">
        <f>Design_Cont</f>
        <v/>
      </c>
      <c r="E34" s="3">
        <f>E32*Design_Cont</f>
        <v/>
      </c>
    </row>
    <row r="35">
      <c r="B35" t="inlineStr">
        <is>
          <t>Construction Contingency</t>
        </is>
      </c>
      <c r="C35" s="4">
        <f>Constr_Cont</f>
        <v/>
      </c>
      <c r="E35" s="3">
        <f>E32*Constr_Cont</f>
        <v/>
      </c>
    </row>
    <row r="36">
      <c r="B36" t="inlineStr">
        <is>
          <t>Owner Contingency</t>
        </is>
      </c>
      <c r="C36" s="4">
        <f>Owner_Cont</f>
        <v/>
      </c>
      <c r="E36" s="3">
        <f>E32*Owner_Cont</f>
        <v/>
      </c>
    </row>
    <row r="37"/>
    <row r="38">
      <c r="B38" s="5" t="inlineStr">
        <is>
          <t>TOTAL HARD COSTS</t>
        </is>
      </c>
      <c r="E38" s="6">
        <f>E32+E34+E35+E36</f>
        <v/>
      </c>
    </row>
    <row r="39">
      <c r="B39" s="16" t="inlineStr">
        <is>
          <t>Cost per GSF</t>
        </is>
      </c>
      <c r="E39" s="20">
        <f>E38/108675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22" customWidth="1" min="3" max="3"/>
    <col width="30" customWidth="1" min="4" max="4"/>
  </cols>
  <sheetData>
    <row r="1">
      <c r="A1" s="10" t="inlineStr">
        <is>
          <t>SOFT COSTS - PAYMENT TIMING: MONTHS 1-9 vs AFTER MONTH 9</t>
        </is>
      </c>
    </row>
    <row r="2">
      <c r="A2" t="inlineStr">
        <is>
          <t>Target: 12% of Total Hard Costs | IN-KIND = Paid after Month 9 from pre-sales</t>
        </is>
      </c>
    </row>
    <row r="3"/>
    <row r="4">
      <c r="A4" s="17" t="inlineStr">
        <is>
          <t>Category</t>
        </is>
      </c>
      <c r="B4" s="17" t="inlineStr">
        <is>
          <t>Amount</t>
        </is>
      </c>
      <c r="C4" s="17" t="inlineStr">
        <is>
          <t>Payment Timing</t>
        </is>
      </c>
      <c r="D4" s="17" t="inlineStr">
        <is>
          <t>Basis</t>
        </is>
      </c>
    </row>
    <row r="5">
      <c r="A5" t="inlineStr">
        <is>
          <t>Architecture &amp; Engineering</t>
        </is>
      </c>
      <c r="B5" s="13">
        <f>TotalHardCosts*0.04</f>
        <v/>
      </c>
      <c r="C5" s="21" t="inlineStr">
        <is>
          <t>IN-KIND (After Mo 9)</t>
        </is>
      </c>
      <c r="D5" t="inlineStr">
        <is>
          <t>4.0% of hard costs</t>
        </is>
      </c>
    </row>
    <row r="6">
      <c r="A6" t="inlineStr">
        <is>
          <t>Marketing &amp; Sales</t>
        </is>
      </c>
      <c r="B6" s="13">
        <f>TotalHardCosts*0.025</f>
        <v/>
      </c>
      <c r="C6" s="21" t="inlineStr">
        <is>
          <t>IN-KIND (After Mo 9)</t>
        </is>
      </c>
      <c r="D6" t="inlineStr">
        <is>
          <t>2.5% of hard costs</t>
        </is>
      </c>
    </row>
    <row r="7">
      <c r="A7" t="inlineStr">
        <is>
          <t>Legal &amp; Accounting</t>
        </is>
      </c>
      <c r="B7" s="13">
        <f>TotalHardCosts*0.01</f>
        <v/>
      </c>
      <c r="C7" s="21" t="inlineStr">
        <is>
          <t>IN-KIND (After Mo 9)</t>
        </is>
      </c>
      <c r="D7" t="inlineStr">
        <is>
          <t>1.0% of hard costs</t>
        </is>
      </c>
    </row>
    <row r="8">
      <c r="A8" t="inlineStr">
        <is>
          <t>Developer Fee</t>
        </is>
      </c>
      <c r="B8" s="13">
        <f>TotalHardCosts*0.015</f>
        <v/>
      </c>
      <c r="C8" s="21" t="inlineStr">
        <is>
          <t>IN-KIND (After Mo 9)</t>
        </is>
      </c>
      <c r="D8" t="inlineStr">
        <is>
          <t>1.5% of hard costs</t>
        </is>
      </c>
    </row>
    <row r="9"/>
    <row r="10">
      <c r="A10" t="inlineStr">
        <is>
          <t>Building Permit</t>
        </is>
      </c>
      <c r="B10" s="13">
        <f>TotalHardCosts*0.015</f>
        <v/>
      </c>
      <c r="C10" s="22" t="inlineStr">
        <is>
          <t>CASH (Months 1-9)</t>
        </is>
      </c>
      <c r="D10" t="inlineStr">
        <is>
          <t>1.5% of hard costs</t>
        </is>
      </c>
    </row>
    <row r="11">
      <c r="A11" t="inlineStr">
        <is>
          <t>Impact Fees</t>
        </is>
      </c>
      <c r="B11" s="13">
        <f>TotalHardCosts*0.01</f>
        <v/>
      </c>
      <c r="C11" s="22" t="inlineStr">
        <is>
          <t>CASH (Months 1-9)</t>
        </is>
      </c>
      <c r="D11" t="inlineStr">
        <is>
          <t>1.0% of hard costs</t>
        </is>
      </c>
    </row>
    <row r="12">
      <c r="A12" t="inlineStr">
        <is>
          <t>Plan Review</t>
        </is>
      </c>
      <c r="B12" s="13">
        <f>TotalHardCosts*0.005</f>
        <v/>
      </c>
      <c r="C12" s="22" t="inlineStr">
        <is>
          <t>CASH (Months 1-9)</t>
        </is>
      </c>
      <c r="D12" t="inlineStr">
        <is>
          <t>0.5% of hard costs</t>
        </is>
      </c>
    </row>
    <row r="13">
      <c r="A13" t="inlineStr">
        <is>
          <t>Insurance</t>
        </is>
      </c>
      <c r="B13" s="13">
        <f>TotalHardCosts*0.008</f>
        <v/>
      </c>
      <c r="C13" s="22" t="inlineStr">
        <is>
          <t>CASH (Months 1-9)</t>
        </is>
      </c>
      <c r="D13" t="inlineStr">
        <is>
          <t>0.8% of hard costs</t>
        </is>
      </c>
    </row>
    <row r="14">
      <c r="A14" t="inlineStr">
        <is>
          <t>Testing &amp; Inspections</t>
        </is>
      </c>
      <c r="B14" s="13">
        <f>TotalHardCosts*0.003</f>
        <v/>
      </c>
      <c r="C14" s="22" t="inlineStr">
        <is>
          <t>CASH (Months 1-9)</t>
        </is>
      </c>
      <c r="D14" t="inlineStr">
        <is>
          <t>0.3% of hard costs</t>
        </is>
      </c>
    </row>
    <row r="15">
      <c r="A15" t="inlineStr">
        <is>
          <t>Utilities &amp; Misc</t>
        </is>
      </c>
      <c r="B15" s="13">
        <f>TotalHardCosts*0.002</f>
        <v/>
      </c>
      <c r="C15" s="22" t="inlineStr">
        <is>
          <t>CASH (Months 1-9)</t>
        </is>
      </c>
      <c r="D15" t="inlineStr">
        <is>
          <t>0.2% of hard costs</t>
        </is>
      </c>
    </row>
    <row r="16">
      <c r="A16" t="inlineStr">
        <is>
          <t>Financing Costs</t>
        </is>
      </c>
      <c r="B16" s="3">
        <f>ConstructionSubtotal*0.375*LTC*Finance_Rate*(9/12)</f>
        <v/>
      </c>
      <c r="C16" s="22" t="inlineStr">
        <is>
          <t>CASH (Months 1-9)</t>
        </is>
      </c>
      <c r="D16" t="inlineStr">
        <is>
          <t>9-month bridge loan interest</t>
        </is>
      </c>
    </row>
    <row r="17"/>
    <row r="18">
      <c r="A18" t="inlineStr">
        <is>
          <t xml:space="preserve">  Note:</t>
        </is>
      </c>
      <c r="B18" t="inlineStr">
        <is>
          <t>IN-KIND costs paid after Month 9 from pre-sales revenue</t>
        </is>
      </c>
    </row>
    <row r="19"/>
    <row r="20">
      <c r="A20" s="5" t="inlineStr">
        <is>
          <t>TOTAL SOFT COSTS</t>
        </is>
      </c>
      <c r="B20" s="6">
        <f>SUM(B5:B16)</f>
        <v/>
      </c>
    </row>
    <row r="21">
      <c r="A21" s="16" t="inlineStr">
        <is>
          <t>% of Hard Costs</t>
        </is>
      </c>
      <c r="B21" s="8">
        <f>B20/TotalHardCosts</f>
        <v/>
      </c>
      <c r="D21" t="inlineStr">
        <is>
          <t>Target: 12.0%</t>
        </is>
      </c>
    </row>
    <row r="22">
      <c r="A22" s="16" t="inlineStr">
        <is>
          <t>Cost per GSF</t>
        </is>
      </c>
      <c r="B22" s="20">
        <f>B20/108675</f>
        <v/>
      </c>
    </row>
  </sheetData>
  <mergeCells count="3">
    <mergeCell ref="A1:D1"/>
    <mergeCell ref="B18:D18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3" customWidth="1" min="3" max="3"/>
    <col width="10" customWidth="1" min="4" max="4"/>
    <col width="10" customWidth="1" min="5" max="5"/>
    <col width="15" customWidth="1" min="6" max="6"/>
  </cols>
  <sheetData>
    <row r="1">
      <c r="A1" s="10" t="inlineStr">
        <is>
          <t>REVENUE ANALYSIS</t>
        </is>
      </c>
    </row>
    <row r="2"/>
    <row r="3">
      <c r="A3" s="17" t="inlineStr">
        <is>
          <t>Floor</t>
        </is>
      </c>
      <c r="B3" s="17" t="inlineStr">
        <is>
          <t>Unit Type</t>
        </is>
      </c>
      <c r="C3" s="17" t="inlineStr">
        <is>
          <t>Units</t>
        </is>
      </c>
      <c r="D3" s="17" t="inlineStr">
        <is>
          <t>NSF</t>
        </is>
      </c>
      <c r="E3" s="17" t="inlineStr">
        <is>
          <t>$/SF</t>
        </is>
      </c>
      <c r="F3" s="17" t="inlineStr">
        <is>
          <t>Total Revenue</t>
        </is>
      </c>
    </row>
    <row r="4">
      <c r="A4" t="inlineStr">
        <is>
          <t>4-5</t>
        </is>
      </c>
      <c r="B4" t="inlineStr">
        <is>
          <t>Hospitality 2BR/1.5BA</t>
        </is>
      </c>
      <c r="C4" t="n">
        <v>32</v>
      </c>
      <c r="D4" s="12" t="n">
        <v>25200</v>
      </c>
      <c r="E4" s="13" t="n">
        <v>1200</v>
      </c>
      <c r="F4" s="3">
        <f>D4*E4</f>
        <v/>
      </c>
    </row>
    <row r="5">
      <c r="A5" t="inlineStr">
        <is>
          <t>6</t>
        </is>
      </c>
      <c r="B5" t="inlineStr">
        <is>
          <t>Hospitality 2BR/1.5BA</t>
        </is>
      </c>
      <c r="C5" t="n">
        <v>10</v>
      </c>
      <c r="D5" s="12" t="n">
        <v>8680</v>
      </c>
      <c r="E5" s="13" t="n">
        <v>1200</v>
      </c>
      <c r="F5" s="3">
        <f>D5*E5</f>
        <v/>
      </c>
    </row>
    <row r="6">
      <c r="A6" t="inlineStr">
        <is>
          <t>7</t>
        </is>
      </c>
      <c r="B6" t="inlineStr">
        <is>
          <t>Condos 3BR/2BA</t>
        </is>
      </c>
      <c r="C6" t="n">
        <v>8</v>
      </c>
      <c r="D6" s="12" t="n">
        <v>8680</v>
      </c>
      <c r="E6" s="13" t="n">
        <v>1200</v>
      </c>
      <c r="F6" s="3">
        <f>D6*E6</f>
        <v/>
      </c>
    </row>
    <row r="7">
      <c r="A7" t="inlineStr">
        <is>
          <t>1</t>
        </is>
      </c>
      <c r="B7" t="inlineStr">
        <is>
          <t>Chabad/Mikvah (at cost)</t>
        </is>
      </c>
      <c r="C7" t="n">
        <v>1</v>
      </c>
      <c r="D7" s="12" t="n">
        <v>10500</v>
      </c>
      <c r="E7" s="13" t="n">
        <v>400</v>
      </c>
      <c r="F7" s="3">
        <f>D7*E7</f>
        <v/>
      </c>
    </row>
    <row r="8"/>
    <row r="9">
      <c r="B9" s="5" t="inlineStr">
        <is>
          <t>TOTAL REVENUE</t>
        </is>
      </c>
      <c r="C9" s="16">
        <f>SUM(C4:C7)</f>
        <v/>
      </c>
      <c r="F9" s="6">
        <f>SUM(F4:F7)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24" customWidth="1" min="3" max="3"/>
    <col width="43" customWidth="1" min="4" max="4"/>
    <col width="11" customWidth="1" min="5" max="5"/>
  </cols>
  <sheetData>
    <row r="1">
      <c r="A1" s="1" t="inlineStr">
        <is>
          <t>NEVO TOWER - PROJECT DEAL STRUCTURE</t>
        </is>
      </c>
    </row>
    <row r="2">
      <c r="A2" s="23" t="inlineStr">
        <is>
          <t>Complete Partnership Structure, Financing, and Payout Waterfall</t>
        </is>
      </c>
    </row>
    <row r="3"/>
    <row r="4">
      <c r="A4" s="11" t="inlineStr">
        <is>
          <t>THE PARTIES</t>
        </is>
      </c>
    </row>
    <row r="5">
      <c r="A5" s="16" t="inlineStr">
        <is>
          <t>Simcha Connection (SC)</t>
        </is>
      </c>
      <c r="B5" t="inlineStr">
        <is>
          <t>Land Owner - 1580 79th St, North Bay Village</t>
        </is>
      </c>
      <c r="D5" t="inlineStr">
        <is>
          <t>$10M land value</t>
        </is>
      </c>
    </row>
    <row r="6">
      <c r="A6" s="16" t="inlineStr">
        <is>
          <t>Developer Partner</t>
        </is>
      </c>
      <c r="B6" t="inlineStr">
        <is>
          <t>Development partner sought by SC</t>
        </is>
      </c>
      <c r="D6" t="inlineStr">
        <is>
          <t>Cash + expertise</t>
        </is>
      </c>
    </row>
    <row r="7">
      <c r="A7" s="16" t="inlineStr"/>
      <c r="B7" t="inlineStr">
        <is>
          <t>Partnership is 50/50 profit split AFTER obligations</t>
        </is>
      </c>
      <c r="D7" t="inlineStr"/>
    </row>
    <row r="8"/>
    <row r="9">
      <c r="A9" s="11" t="inlineStr">
        <is>
          <t>SC CONTRIBUTIONS &amp; PAYMENTS</t>
        </is>
      </c>
    </row>
    <row r="10">
      <c r="A10" s="16" t="inlineStr">
        <is>
          <t>Item</t>
        </is>
      </c>
      <c r="B10" s="16" t="inlineStr">
        <is>
          <t>Amount</t>
        </is>
      </c>
      <c r="C10" s="16" t="inlineStr">
        <is>
          <t>Timing</t>
        </is>
      </c>
      <c r="D10" s="16" t="inlineStr">
        <is>
          <t>Type</t>
        </is>
      </c>
      <c r="E10" s="16" t="inlineStr">
        <is>
          <t>Interest?</t>
        </is>
      </c>
    </row>
    <row r="11">
      <c r="A11" t="inlineStr">
        <is>
          <t>Land (In-Kind)</t>
        </is>
      </c>
      <c r="B11" t="inlineStr">
        <is>
          <t>$8,000,000</t>
        </is>
      </c>
      <c r="C11" t="inlineStr">
        <is>
          <t>Upfront</t>
        </is>
      </c>
      <c r="D11" t="inlineStr">
        <is>
          <t>Equity contribution</t>
        </is>
      </c>
      <c r="E11" t="inlineStr">
        <is>
          <t>NO</t>
        </is>
      </c>
    </row>
    <row r="12">
      <c r="A12" t="inlineStr">
        <is>
          <t>Cash to SC from Dev</t>
        </is>
      </c>
      <c r="B12" t="inlineStr">
        <is>
          <t>$1,250,000</t>
        </is>
      </c>
      <c r="C12" t="inlineStr">
        <is>
          <t>Month 0 (key money)</t>
        </is>
      </c>
      <c r="D12" t="inlineStr">
        <is>
          <t>Cash OUT to SC</t>
        </is>
      </c>
      <c r="E12" t="inlineStr">
        <is>
          <t>N/A</t>
        </is>
      </c>
    </row>
    <row r="13">
      <c r="A13" t="inlineStr">
        <is>
          <t>Cash to SC from Dev</t>
        </is>
      </c>
      <c r="B13" t="inlineStr">
        <is>
          <t>$750,000</t>
        </is>
      </c>
      <c r="C13" t="inlineStr">
        <is>
          <t>Month 6</t>
        </is>
      </c>
      <c r="D13" t="inlineStr">
        <is>
          <t>Cash OUT to SC</t>
        </is>
      </c>
      <c r="E13" t="inlineStr">
        <is>
          <t>N/A</t>
        </is>
      </c>
    </row>
    <row r="14">
      <c r="A14" t="inlineStr">
        <is>
          <t>Land Payment AT EXIT</t>
        </is>
      </c>
      <c r="B14" t="inlineStr">
        <is>
          <t>$8,000,000</t>
        </is>
      </c>
      <c r="C14" t="inlineStr">
        <is>
          <t>After all vendors paid</t>
        </is>
      </c>
      <c r="D14" t="inlineStr">
        <is>
          <t>From windfall</t>
        </is>
      </c>
      <c r="E14" s="24" t="inlineStr">
        <is>
          <t>NO!</t>
        </is>
      </c>
    </row>
    <row r="15"/>
    <row r="16">
      <c r="A16" s="11" t="inlineStr">
        <is>
          <t>FINANCING STRUCTURE</t>
        </is>
      </c>
    </row>
    <row r="17">
      <c r="A17" s="16" t="inlineStr">
        <is>
          <t>Source</t>
        </is>
      </c>
      <c r="B17" s="16" t="inlineStr">
        <is>
          <t>Amount</t>
        </is>
      </c>
      <c r="C17" s="16" t="inlineStr">
        <is>
          <t>Duration</t>
        </is>
      </c>
      <c r="D17" s="16" t="inlineStr">
        <is>
          <t>Purpose</t>
        </is>
      </c>
      <c r="E17" s="16" t="inlineStr">
        <is>
          <t>Cost</t>
        </is>
      </c>
    </row>
    <row r="18">
      <c r="A18" t="inlineStr">
        <is>
          <t>Developer Cash OUT to SC</t>
        </is>
      </c>
      <c r="B18" t="inlineStr">
        <is>
          <t>$2,000,000</t>
        </is>
      </c>
      <c r="C18" t="inlineStr">
        <is>
          <t>Upfront</t>
        </is>
      </c>
      <c r="D18" t="inlineStr">
        <is>
          <t>SC receives cash payments</t>
        </is>
      </c>
      <c r="E18" s="25" t="inlineStr">
        <is>
          <t>$0</t>
        </is>
      </c>
    </row>
    <row r="19">
      <c r="A19" t="inlineStr">
        <is>
          <t>Bridge Loan</t>
        </is>
      </c>
      <c r="B19" t="inlineStr">
        <is>
          <t>~$6,600,000</t>
        </is>
      </c>
      <c r="C19" t="inlineStr">
        <is>
          <t>9 months</t>
        </is>
      </c>
      <c r="D19" t="inlineStr">
        <is>
          <t>Construction subtotal only</t>
        </is>
      </c>
      <c r="E19" t="inlineStr">
        <is>
          <t>~$420K</t>
        </is>
      </c>
    </row>
    <row r="20">
      <c r="A20" t="inlineStr">
        <is>
          <t>Pre-Sales Deposits</t>
        </is>
      </c>
      <c r="B20" t="inlineStr">
        <is>
          <t>~$14,700,000</t>
        </is>
      </c>
      <c r="C20" t="inlineStr">
        <is>
          <t>Months 1-24</t>
        </is>
      </c>
      <c r="D20" t="inlineStr">
        <is>
          <t>Remaining construction</t>
        </is>
      </c>
      <c r="E20" s="25" t="inlineStr">
        <is>
          <t>$0</t>
        </is>
      </c>
    </row>
    <row r="21">
      <c r="A21" t="inlineStr">
        <is>
          <t>Vendor Terms</t>
        </is>
      </c>
      <c r="B21" t="inlineStr">
        <is>
          <t>Variable</t>
        </is>
      </c>
      <c r="C21" t="inlineStr">
        <is>
          <t>Ongoing</t>
        </is>
      </c>
      <c r="D21" t="inlineStr">
        <is>
          <t>GC/OH&amp;P/Contingencies</t>
        </is>
      </c>
      <c r="E21" s="25" t="inlineStr">
        <is>
          <t>$0</t>
        </is>
      </c>
    </row>
    <row r="22">
      <c r="A22" t="inlineStr">
        <is>
          <t>In-Kind Suppliers</t>
        </is>
      </c>
      <c r="B22" t="inlineStr">
        <is>
          <t>Variable</t>
        </is>
      </c>
      <c r="C22" t="inlineStr">
        <is>
          <t>Ongoing</t>
        </is>
      </c>
      <c r="D22" t="inlineStr">
        <is>
          <t>Materials at cost</t>
        </is>
      </c>
      <c r="E22" s="25" t="inlineStr">
        <is>
          <t>$0</t>
        </is>
      </c>
    </row>
    <row r="23"/>
    <row r="24">
      <c r="A24" s="26" t="inlineStr">
        <is>
          <t>KEY POINT:</t>
        </is>
      </c>
      <c r="B24" t="inlineStr">
        <is>
          <t>Pre-sales from Month 10+ cover ALL remaining construction costs</t>
        </is>
      </c>
    </row>
    <row r="25"/>
    <row r="26">
      <c r="A26" s="11" t="inlineStr">
        <is>
          <t>PAYMENT WATERFALL (AT PROJECT EXIT)</t>
        </is>
      </c>
    </row>
    <row r="27">
      <c r="A27" s="16" t="inlineStr">
        <is>
          <t>Priority</t>
        </is>
      </c>
      <c r="B27" s="16" t="inlineStr">
        <is>
          <t>Payee</t>
        </is>
      </c>
      <c r="C27" s="16" t="inlineStr">
        <is>
          <t>Amount</t>
        </is>
      </c>
      <c r="D27" s="16" t="inlineStr">
        <is>
          <t>Description</t>
        </is>
      </c>
    </row>
    <row r="28">
      <c r="A28" s="25" t="inlineStr">
        <is>
          <t>0</t>
        </is>
      </c>
      <c r="B28" t="inlineStr">
        <is>
          <t>Total Revenue</t>
        </is>
      </c>
      <c r="C28" t="inlineStr">
        <is>
          <t>$55,272,000</t>
        </is>
      </c>
      <c r="D28" t="inlineStr">
        <is>
          <t>Gross sales revenue from 50 units</t>
        </is>
      </c>
    </row>
    <row r="29">
      <c r="A29" t="inlineStr">
        <is>
          <t>1</t>
        </is>
      </c>
      <c r="B29" t="inlineStr">
        <is>
          <t>Bridge Loan Payoff</t>
        </is>
      </c>
      <c r="C29" t="inlineStr">
        <is>
          <t>~$420,000</t>
        </is>
      </c>
      <c r="D29" t="inlineStr">
        <is>
          <t>Principal + interest (if balance remains)</t>
        </is>
      </c>
    </row>
    <row r="30">
      <c r="A30" t="inlineStr">
        <is>
          <t>2</t>
        </is>
      </c>
      <c r="B30" t="inlineStr">
        <is>
          <t>Vendors/Contractors</t>
        </is>
      </c>
      <c r="C30" t="inlineStr">
        <is>
          <t>~$32,609,001</t>
        </is>
      </c>
      <c r="D30" t="inlineStr">
        <is>
          <t>All construction costs paid</t>
        </is>
      </c>
    </row>
    <row r="31">
      <c r="A31" t="inlineStr">
        <is>
          <t>3</t>
        </is>
      </c>
      <c r="B31" t="inlineStr">
        <is>
          <t>Soft Costs</t>
        </is>
      </c>
      <c r="C31" t="inlineStr">
        <is>
          <t>~$4,600,000</t>
        </is>
      </c>
      <c r="D31" t="inlineStr">
        <is>
          <t>A&amp;E, marketing, permits, etc.</t>
        </is>
      </c>
    </row>
    <row r="32">
      <c r="A32" s="27" t="inlineStr">
        <is>
          <t>4</t>
        </is>
      </c>
      <c r="B32" t="inlineStr">
        <is>
          <t>SC Land Payment</t>
        </is>
      </c>
      <c r="C32" t="inlineStr">
        <is>
          <t>$8,000,000</t>
        </is>
      </c>
      <c r="D32" t="inlineStr">
        <is>
          <t>NO INTEREST! Paid from windfall</t>
        </is>
      </c>
    </row>
    <row r="33">
      <c r="A33" s="27" t="inlineStr">
        <is>
          <t>5</t>
        </is>
      </c>
      <c r="B33" t="inlineStr">
        <is>
          <t>Remaining Windfall</t>
        </is>
      </c>
      <c r="C33" t="inlineStr">
        <is>
          <t>~$9,643,000</t>
        </is>
      </c>
      <c r="D33" t="inlineStr">
        <is>
          <t>Available for profit split</t>
        </is>
      </c>
    </row>
    <row r="34">
      <c r="A34" s="28" t="inlineStr">
        <is>
          <t>6</t>
        </is>
      </c>
      <c r="B34" t="inlineStr">
        <is>
          <t>SC Share (50%)</t>
        </is>
      </c>
      <c r="C34" t="inlineStr">
        <is>
          <t>~$4,821,500</t>
        </is>
      </c>
      <c r="D34" t="inlineStr">
        <is>
          <t>50% of windfall after all obligations</t>
        </is>
      </c>
    </row>
    <row r="35">
      <c r="A35" s="28" t="inlineStr">
        <is>
          <t>7</t>
        </is>
      </c>
      <c r="B35" t="inlineStr">
        <is>
          <t>Developer Share (50%)</t>
        </is>
      </c>
      <c r="C35" t="inlineStr">
        <is>
          <t>~$4,821,500</t>
        </is>
      </c>
      <c r="D35" t="inlineStr">
        <is>
          <t>50% of windfall after all obligations</t>
        </is>
      </c>
    </row>
    <row r="36"/>
    <row r="37">
      <c r="A37" s="11" t="inlineStr">
        <is>
          <t>DEVELOPER ECONOMICS</t>
        </is>
      </c>
    </row>
    <row r="38">
      <c r="A38" t="inlineStr">
        <is>
          <t>Cash OUT (Investment to SC)</t>
        </is>
      </c>
      <c r="B38" s="3" t="inlineStr">
        <is>
          <t>$2,000,000</t>
        </is>
      </c>
      <c r="D38" t="inlineStr">
        <is>
          <t>Paid to SC upfront</t>
        </is>
      </c>
    </row>
    <row r="39">
      <c r="A39" t="inlineStr">
        <is>
          <t>Cash IN (Return)</t>
        </is>
      </c>
      <c r="B39" s="3" t="inlineStr">
        <is>
          <t>~$4,821,500</t>
        </is>
      </c>
      <c r="D39" t="inlineStr">
        <is>
          <t>50% of windfall</t>
        </is>
      </c>
    </row>
    <row r="40">
      <c r="A40" s="16" t="inlineStr">
        <is>
          <t>Net Profit</t>
        </is>
      </c>
      <c r="B40" s="7" t="inlineStr">
        <is>
          <t>~$2,821,500</t>
        </is>
      </c>
      <c r="D40" t="inlineStr">
        <is>
          <t>$4.82M - $2M investment</t>
        </is>
      </c>
    </row>
    <row r="41">
      <c r="A41" s="5" t="inlineStr">
        <is>
          <t>ROI</t>
        </is>
      </c>
      <c r="B41" s="29" t="inlineStr">
        <is>
          <t>141%</t>
        </is>
      </c>
      <c r="D41" t="inlineStr">
        <is>
          <t>$2.82M profit / $2M investment</t>
        </is>
      </c>
    </row>
    <row r="42"/>
    <row r="43">
      <c r="A43" s="11" t="inlineStr">
        <is>
          <t>KEY DEAL BENEFITS</t>
        </is>
      </c>
    </row>
    <row r="44">
      <c r="A44" s="16" t="inlineStr">
        <is>
          <t>✓ NO INTEREST on $8M SC land payment</t>
        </is>
      </c>
      <c r="B44" t="inlineStr">
        <is>
          <t>Massive savings vs traditional land purchase</t>
        </is>
      </c>
    </row>
    <row r="45">
      <c r="A45" s="16" t="inlineStr">
        <is>
          <t>✓ Bridge loan only 9 months</t>
        </is>
      </c>
      <c r="B45" t="inlineStr">
        <is>
          <t>Pre-sales cover construction from Month 10+</t>
        </is>
      </c>
    </row>
    <row r="46">
      <c r="A46" s="16" t="inlineStr">
        <is>
          <t>✓ Vendor payment terms</t>
        </is>
      </c>
      <c r="B46" t="inlineStr">
        <is>
          <t>GC/OH&amp;P/contingencies funded by terms, not loan</t>
        </is>
      </c>
    </row>
    <row r="47">
      <c r="A47" s="16" t="inlineStr">
        <is>
          <t>✓ In-kind supplier opportunities</t>
        </is>
      </c>
      <c r="B47" t="inlineStr">
        <is>
          <t>Reduce cash needed with material contributions</t>
        </is>
      </c>
    </row>
    <row r="48">
      <c r="A48" s="16" t="inlineStr">
        <is>
          <t>✓ 141% ROI on $2M investment</t>
        </is>
      </c>
      <c r="B48" t="inlineStr">
        <is>
          <t>Developer gets $4.82M from $2M investment</t>
        </is>
      </c>
    </row>
    <row r="49">
      <c r="A49" s="16" t="inlineStr">
        <is>
          <t>✓ Pre-sales de-risk project</t>
        </is>
      </c>
      <c r="B49" t="inlineStr">
        <is>
          <t>Units sold before completion = guaranteed revenue</t>
        </is>
      </c>
    </row>
  </sheetData>
  <mergeCells count="15">
    <mergeCell ref="B45:E45"/>
    <mergeCell ref="A4:E4"/>
    <mergeCell ref="A26:E26"/>
    <mergeCell ref="A43:E43"/>
    <mergeCell ref="A2:E2"/>
    <mergeCell ref="A16:E16"/>
    <mergeCell ref="B49:E49"/>
    <mergeCell ref="B44:E44"/>
    <mergeCell ref="B48:E48"/>
    <mergeCell ref="A1:E1"/>
    <mergeCell ref="A37:E37"/>
    <mergeCell ref="B24:E24"/>
    <mergeCell ref="B47:E47"/>
    <mergeCell ref="B46:E46"/>
    <mergeCell ref="A9:E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23" customWidth="1" min="3" max="3"/>
    <col width="21" customWidth="1" min="4" max="4"/>
    <col width="17" customWidth="1" min="5" max="5"/>
    <col width="29" customWidth="1" min="6" max="6"/>
    <col width="15" customWidth="1" min="7" max="7"/>
    <col width="15" customWidth="1" min="8" max="8"/>
    <col width="17" customWidth="1" min="9" max="9"/>
    <col width="19" customWidth="1" min="10" max="10"/>
  </cols>
  <sheetData>
    <row r="1">
      <c r="A1" s="10" t="inlineStr">
        <is>
          <t>NEVO TOWER - 24-MONTH CASH FLOW WITH PRE-SALES</t>
        </is>
      </c>
    </row>
    <row r="2">
      <c r="A2" t="inlineStr">
        <is>
          <t>Construction Costs vs Pre-Sales Revenue - Bridge Loan Calculation</t>
        </is>
      </c>
    </row>
    <row r="3"/>
    <row r="4">
      <c r="A4" s="17" t="inlineStr">
        <is>
          <t>Month</t>
        </is>
      </c>
      <c r="B4" s="17" t="inlineStr">
        <is>
          <t>Activity</t>
        </is>
      </c>
      <c r="C4" s="17" t="inlineStr">
        <is>
          <t>Hard Cost Draw</t>
        </is>
      </c>
      <c r="D4" s="17" t="inlineStr">
        <is>
          <t>SC Cash OUT</t>
        </is>
      </c>
      <c r="E4" s="17" t="inlineStr">
        <is>
          <t>Pre-Sales Units</t>
        </is>
      </c>
      <c r="F4" s="17" t="inlineStr">
        <is>
          <t>Pre-Sales Revenue</t>
        </is>
      </c>
      <c r="G4" s="17" t="inlineStr">
        <is>
          <t>Total Cash In</t>
        </is>
      </c>
      <c r="H4" s="17" t="inlineStr">
        <is>
          <t>Net Cash Flow</t>
        </is>
      </c>
      <c r="I4" s="17" t="inlineStr">
        <is>
          <t>Cumulative Cash</t>
        </is>
      </c>
      <c r="J4" s="17" t="inlineStr">
        <is>
          <t>Bridge Loan Need</t>
        </is>
      </c>
    </row>
    <row r="5">
      <c r="A5" t="n">
        <v>1</v>
      </c>
      <c r="B5" t="inlineStr">
        <is>
          <t>Foundation</t>
        </is>
      </c>
      <c r="C5" s="3">
        <f>TotalHardCosts*0.03</f>
        <v/>
      </c>
      <c r="D5" s="3">
        <f>-LandPartner_Cash1</f>
        <v/>
      </c>
      <c r="E5" t="n">
        <v>1</v>
      </c>
      <c r="F5" s="3">
        <f>E5*(TotalRevenue/50)*0.20</f>
        <v/>
      </c>
      <c r="G5" s="3">
        <f>D5+F5</f>
        <v/>
      </c>
      <c r="H5" s="3">
        <f>G5-C5</f>
        <v/>
      </c>
      <c r="I5" s="3">
        <f>H5</f>
        <v/>
      </c>
      <c r="J5" s="30">
        <f>IF(I5&lt;0,-I5,0)</f>
        <v/>
      </c>
    </row>
    <row r="6">
      <c r="A6" t="n">
        <v>2</v>
      </c>
      <c r="B6" t="inlineStr">
        <is>
          <t>Foundation</t>
        </is>
      </c>
      <c r="C6" s="3">
        <f>TotalHardCosts*0.04</f>
        <v/>
      </c>
      <c r="D6" s="3" t="n">
        <v>0</v>
      </c>
      <c r="E6" t="n">
        <v>2</v>
      </c>
      <c r="F6" s="3">
        <f>E6*(TotalRevenue/50)*0.20</f>
        <v/>
      </c>
      <c r="G6" s="3">
        <f>D6+F6</f>
        <v/>
      </c>
      <c r="H6" s="3">
        <f>G6-C6</f>
        <v/>
      </c>
      <c r="I6" s="3">
        <f>I5+H6</f>
        <v/>
      </c>
      <c r="J6" s="30">
        <f>IF(I6&lt;0,-I6,0)</f>
        <v/>
      </c>
    </row>
    <row r="7">
      <c r="A7" t="n">
        <v>3</v>
      </c>
      <c r="B7" t="inlineStr">
        <is>
          <t>Site Work</t>
        </is>
      </c>
      <c r="C7" s="3">
        <f>TotalHardCosts*0.05</f>
        <v/>
      </c>
      <c r="D7" s="3" t="n">
        <v>0</v>
      </c>
      <c r="E7" t="n">
        <v>2</v>
      </c>
      <c r="F7" s="3">
        <f>E7*(TotalRevenue/50)*0.20</f>
        <v/>
      </c>
      <c r="G7" s="3">
        <f>D7+F7</f>
        <v/>
      </c>
      <c r="H7" s="3">
        <f>G7-C7</f>
        <v/>
      </c>
      <c r="I7" s="3">
        <f>I6+H7</f>
        <v/>
      </c>
      <c r="J7" s="30">
        <f>IF(I7&lt;0,-I7,0)</f>
        <v/>
      </c>
    </row>
    <row r="8">
      <c r="A8" t="n">
        <v>4</v>
      </c>
      <c r="B8" t="inlineStr">
        <is>
          <t>Site Work</t>
        </is>
      </c>
      <c r="C8" s="3">
        <f>TotalHardCosts*0.06</f>
        <v/>
      </c>
      <c r="D8" s="3" t="n">
        <v>0</v>
      </c>
      <c r="E8" t="n">
        <v>3</v>
      </c>
      <c r="F8" s="3">
        <f>E8*(TotalRevenue/50)*0.20</f>
        <v/>
      </c>
      <c r="G8" s="3">
        <f>D8+F8</f>
        <v/>
      </c>
      <c r="H8" s="3">
        <f>G8-C8</f>
        <v/>
      </c>
      <c r="I8" s="3">
        <f>I7+H8</f>
        <v/>
      </c>
      <c r="J8" s="30">
        <f>IF(I8&lt;0,-I8,0)</f>
        <v/>
      </c>
    </row>
    <row r="9">
      <c r="A9" t="n">
        <v>5</v>
      </c>
      <c r="B9" t="inlineStr">
        <is>
          <t>Superstructure</t>
        </is>
      </c>
      <c r="C9" s="3">
        <f>TotalHardCosts*0.07</f>
        <v/>
      </c>
      <c r="D9" s="3" t="n">
        <v>0</v>
      </c>
      <c r="E9" t="n">
        <v>3</v>
      </c>
      <c r="F9" s="3">
        <f>E9*(TotalRevenue/50)*0.20</f>
        <v/>
      </c>
      <c r="G9" s="3">
        <f>D9+F9</f>
        <v/>
      </c>
      <c r="H9" s="3">
        <f>G9-C9</f>
        <v/>
      </c>
      <c r="I9" s="3">
        <f>I8+H9</f>
        <v/>
      </c>
      <c r="J9" s="30">
        <f>IF(I9&lt;0,-I9,0)</f>
        <v/>
      </c>
    </row>
    <row r="10">
      <c r="A10" t="n">
        <v>6</v>
      </c>
      <c r="B10" t="inlineStr">
        <is>
          <t>Superstructure</t>
        </is>
      </c>
      <c r="C10" s="3">
        <f>TotalHardCosts*0.08</f>
        <v/>
      </c>
      <c r="D10" s="3">
        <f>-LandPartner_Cash2</f>
        <v/>
      </c>
      <c r="E10" t="n">
        <v>3</v>
      </c>
      <c r="F10" s="3">
        <f>E10*(TotalRevenue/50)*0.20</f>
        <v/>
      </c>
      <c r="G10" s="3">
        <f>D10+F10</f>
        <v/>
      </c>
      <c r="H10" s="3">
        <f>G10-C10</f>
        <v/>
      </c>
      <c r="I10" s="3">
        <f>I9+H10</f>
        <v/>
      </c>
      <c r="J10" s="30">
        <f>IF(I10&lt;0,-I10,0)</f>
        <v/>
      </c>
    </row>
    <row r="11">
      <c r="A11" t="n">
        <v>7</v>
      </c>
      <c r="B11" t="inlineStr">
        <is>
          <t>Superstructure</t>
        </is>
      </c>
      <c r="C11" s="3">
        <f>TotalHardCosts*0.08</f>
        <v/>
      </c>
      <c r="D11" s="3" t="n">
        <v>0</v>
      </c>
      <c r="E11" t="n">
        <v>4</v>
      </c>
      <c r="F11" s="3">
        <f>E11*(TotalRevenue/50)*0.20</f>
        <v/>
      </c>
      <c r="G11" s="3">
        <f>D11+F11</f>
        <v/>
      </c>
      <c r="H11" s="3">
        <f>G11-C11</f>
        <v/>
      </c>
      <c r="I11" s="3">
        <f>I10+H11</f>
        <v/>
      </c>
      <c r="J11" s="30">
        <f>IF(I11&lt;0,-I11,0)</f>
        <v/>
      </c>
    </row>
    <row r="12">
      <c r="A12" t="n">
        <v>8</v>
      </c>
      <c r="B12" t="inlineStr">
        <is>
          <t>Superstructure</t>
        </is>
      </c>
      <c r="C12" s="3">
        <f>TotalHardCosts*0.07</f>
        <v/>
      </c>
      <c r="D12" s="3" t="n">
        <v>0</v>
      </c>
      <c r="E12" t="n">
        <v>4</v>
      </c>
      <c r="F12" s="3">
        <f>E12*(TotalRevenue/50)*0.20</f>
        <v/>
      </c>
      <c r="G12" s="3">
        <f>D12+F12</f>
        <v/>
      </c>
      <c r="H12" s="3">
        <f>G12-C12</f>
        <v/>
      </c>
      <c r="I12" s="3">
        <f>I11+H12</f>
        <v/>
      </c>
      <c r="J12" s="30">
        <f>IF(I12&lt;0,-I12,0)</f>
        <v/>
      </c>
    </row>
    <row r="13">
      <c r="A13" t="n">
        <v>9</v>
      </c>
      <c r="B13" t="inlineStr">
        <is>
          <t>Envelope</t>
        </is>
      </c>
      <c r="C13" s="3">
        <f>TotalHardCosts*0.07</f>
        <v/>
      </c>
      <c r="D13" s="3" t="n">
        <v>0</v>
      </c>
      <c r="E13" t="n">
        <v>4</v>
      </c>
      <c r="F13" s="3">
        <f>E13*(TotalRevenue/50)*0.20</f>
        <v/>
      </c>
      <c r="G13" s="3">
        <f>D13+F13</f>
        <v/>
      </c>
      <c r="H13" s="3">
        <f>G13-C13</f>
        <v/>
      </c>
      <c r="I13" s="3">
        <f>I12+H13</f>
        <v/>
      </c>
      <c r="J13" s="30">
        <f>IF(I13&lt;0,-I13,0)</f>
        <v/>
      </c>
    </row>
    <row r="14">
      <c r="A14" t="n">
        <v>10</v>
      </c>
      <c r="B14" t="inlineStr">
        <is>
          <t>Envelope</t>
        </is>
      </c>
      <c r="C14" s="3">
        <f>TotalHardCosts*0.07</f>
        <v/>
      </c>
      <c r="D14" s="3" t="n">
        <v>0</v>
      </c>
      <c r="E14" t="n">
        <v>4</v>
      </c>
      <c r="F14" s="3">
        <f>E14*(TotalRevenue/50)*0.20</f>
        <v/>
      </c>
      <c r="G14" s="3">
        <f>D14+F14</f>
        <v/>
      </c>
      <c r="H14" s="3">
        <f>G14-C14</f>
        <v/>
      </c>
      <c r="I14" s="3">
        <f>I13+H14</f>
        <v/>
      </c>
      <c r="J14" s="30">
        <f>IF(I14&lt;0,-I14,0)</f>
        <v/>
      </c>
    </row>
    <row r="15">
      <c r="A15" t="n">
        <v>11</v>
      </c>
      <c r="B15" t="inlineStr">
        <is>
          <t>MEP Rough-In</t>
        </is>
      </c>
      <c r="C15" s="3">
        <f>TotalHardCosts*0.06</f>
        <v/>
      </c>
      <c r="D15" s="3" t="n">
        <v>0</v>
      </c>
      <c r="E15" t="n">
        <v>3</v>
      </c>
      <c r="F15" s="3">
        <f>E15*(TotalRevenue/50)*0.20</f>
        <v/>
      </c>
      <c r="G15" s="3">
        <f>D15+F15</f>
        <v/>
      </c>
      <c r="H15" s="3">
        <f>G15-C15</f>
        <v/>
      </c>
      <c r="I15" s="3">
        <f>I14+H15</f>
        <v/>
      </c>
      <c r="J15" s="30">
        <f>IF(I15&lt;0,-I15,0)</f>
        <v/>
      </c>
    </row>
    <row r="16">
      <c r="A16" t="n">
        <v>12</v>
      </c>
      <c r="B16" t="inlineStr">
        <is>
          <t>MEP Rough-In</t>
        </is>
      </c>
      <c r="C16" s="3">
        <f>TotalHardCosts*0.06</f>
        <v/>
      </c>
      <c r="D16" s="3" t="n">
        <v>0</v>
      </c>
      <c r="E16" t="n">
        <v>3</v>
      </c>
      <c r="F16" s="3">
        <f>E16*(TotalRevenue/50)*0.20</f>
        <v/>
      </c>
      <c r="G16" s="3">
        <f>D16+F16</f>
        <v/>
      </c>
      <c r="H16" s="3">
        <f>G16-C16</f>
        <v/>
      </c>
      <c r="I16" s="3">
        <f>I15+H16</f>
        <v/>
      </c>
      <c r="J16" s="30">
        <f>IF(I16&lt;0,-I16,0)</f>
        <v/>
      </c>
    </row>
    <row r="17">
      <c r="A17" t="n">
        <v>13</v>
      </c>
      <c r="B17" t="inlineStr">
        <is>
          <t>MEP Install</t>
        </is>
      </c>
      <c r="C17" s="3">
        <f>TotalHardCosts*0.05</f>
        <v/>
      </c>
      <c r="D17" s="3" t="n">
        <v>0</v>
      </c>
      <c r="E17" t="n">
        <v>2</v>
      </c>
      <c r="F17" s="3">
        <f>E17*(TotalRevenue/50)*0.20</f>
        <v/>
      </c>
      <c r="G17" s="3">
        <f>D17+F17</f>
        <v/>
      </c>
      <c r="H17" s="3">
        <f>G17-C17</f>
        <v/>
      </c>
      <c r="I17" s="3">
        <f>I16+H17</f>
        <v/>
      </c>
      <c r="J17" s="30">
        <f>IF(I17&lt;0,-I17,0)</f>
        <v/>
      </c>
    </row>
    <row r="18">
      <c r="A18" t="n">
        <v>14</v>
      </c>
      <c r="B18" t="inlineStr">
        <is>
          <t>MEP Install</t>
        </is>
      </c>
      <c r="C18" s="3">
        <f>TotalHardCosts*0.05</f>
        <v/>
      </c>
      <c r="D18" s="3" t="n">
        <v>0</v>
      </c>
      <c r="E18" t="n">
        <v>2</v>
      </c>
      <c r="F18" s="3">
        <f>E18*(TotalRevenue/50)*0.20</f>
        <v/>
      </c>
      <c r="G18" s="3">
        <f>D18+F18</f>
        <v/>
      </c>
      <c r="H18" s="3">
        <f>G18-C18</f>
        <v/>
      </c>
      <c r="I18" s="3">
        <f>I17+H18</f>
        <v/>
      </c>
      <c r="J18" s="30">
        <f>IF(I18&lt;0,-I18,0)</f>
        <v/>
      </c>
    </row>
    <row r="19">
      <c r="A19" t="n">
        <v>15</v>
      </c>
      <c r="B19" t="inlineStr">
        <is>
          <t>Interior Framing</t>
        </is>
      </c>
      <c r="C19" s="3">
        <f>TotalHardCosts*0.04</f>
        <v/>
      </c>
      <c r="D19" s="3" t="n">
        <v>0</v>
      </c>
      <c r="E19" t="n">
        <v>2</v>
      </c>
      <c r="F19" s="3">
        <f>E19*(TotalRevenue/50)*0.20</f>
        <v/>
      </c>
      <c r="G19" s="3">
        <f>D19+F19</f>
        <v/>
      </c>
      <c r="H19" s="3">
        <f>G19-C19</f>
        <v/>
      </c>
      <c r="I19" s="3">
        <f>I18+H19</f>
        <v/>
      </c>
      <c r="J19" s="30">
        <f>IF(I19&lt;0,-I19,0)</f>
        <v/>
      </c>
    </row>
    <row r="20">
      <c r="A20" t="n">
        <v>16</v>
      </c>
      <c r="B20" t="inlineStr">
        <is>
          <t>Interior Framing</t>
        </is>
      </c>
      <c r="C20" s="3">
        <f>TotalHardCosts*0.04</f>
        <v/>
      </c>
      <c r="D20" s="3" t="n">
        <v>0</v>
      </c>
      <c r="E20" t="n">
        <v>2</v>
      </c>
      <c r="F20" s="3">
        <f>E20*(TotalRevenue/50)*0.20</f>
        <v/>
      </c>
      <c r="G20" s="3">
        <f>D20+F20</f>
        <v/>
      </c>
      <c r="H20" s="3">
        <f>G20-C20</f>
        <v/>
      </c>
      <c r="I20" s="3">
        <f>I19+H20</f>
        <v/>
      </c>
      <c r="J20" s="30">
        <f>IF(I20&lt;0,-I20,0)</f>
        <v/>
      </c>
    </row>
    <row r="21">
      <c r="A21" t="n">
        <v>17</v>
      </c>
      <c r="B21" t="inlineStr">
        <is>
          <t>Finishes</t>
        </is>
      </c>
      <c r="C21" s="3">
        <f>TotalHardCosts*0.03</f>
        <v/>
      </c>
      <c r="D21" s="3" t="n">
        <v>0</v>
      </c>
      <c r="E21" t="n">
        <v>1</v>
      </c>
      <c r="F21" s="3">
        <f>E21*(TotalRevenue/50)*0.20</f>
        <v/>
      </c>
      <c r="G21" s="3">
        <f>D21+F21</f>
        <v/>
      </c>
      <c r="H21" s="3">
        <f>G21-C21</f>
        <v/>
      </c>
      <c r="I21" s="3">
        <f>I20+H21</f>
        <v/>
      </c>
      <c r="J21" s="30">
        <f>IF(I21&lt;0,-I21,0)</f>
        <v/>
      </c>
    </row>
    <row r="22">
      <c r="A22" t="n">
        <v>18</v>
      </c>
      <c r="B22" t="inlineStr">
        <is>
          <t>Finishes</t>
        </is>
      </c>
      <c r="C22" s="3">
        <f>TotalHardCosts*0.03</f>
        <v/>
      </c>
      <c r="D22" s="3" t="n">
        <v>0</v>
      </c>
      <c r="E22" t="n">
        <v>1</v>
      </c>
      <c r="F22" s="3">
        <f>E22*(TotalRevenue/50)*0.20</f>
        <v/>
      </c>
      <c r="G22" s="3">
        <f>D22+F22</f>
        <v/>
      </c>
      <c r="H22" s="3">
        <f>G22-C22</f>
        <v/>
      </c>
      <c r="I22" s="3">
        <f>I21+H22</f>
        <v/>
      </c>
      <c r="J22" s="30">
        <f>IF(I22&lt;0,-I22,0)</f>
        <v/>
      </c>
    </row>
    <row r="23">
      <c r="A23" t="n">
        <v>19</v>
      </c>
      <c r="B23" t="inlineStr">
        <is>
          <t>Fixtures</t>
        </is>
      </c>
      <c r="C23" s="3">
        <f>TotalHardCosts*0.02</f>
        <v/>
      </c>
      <c r="D23" s="3" t="n">
        <v>0</v>
      </c>
      <c r="E23" t="n">
        <v>1</v>
      </c>
      <c r="F23" s="3">
        <f>E23*(TotalRevenue/50)*0.20</f>
        <v/>
      </c>
      <c r="G23" s="3">
        <f>D23+F23</f>
        <v/>
      </c>
      <c r="H23" s="3">
        <f>G23-C23</f>
        <v/>
      </c>
      <c r="I23" s="3">
        <f>I22+H23</f>
        <v/>
      </c>
      <c r="J23" s="30">
        <f>IF(I23&lt;0,-I23,0)</f>
        <v/>
      </c>
    </row>
    <row r="24">
      <c r="A24" t="n">
        <v>20</v>
      </c>
      <c r="B24" t="inlineStr">
        <is>
          <t>Fixtures</t>
        </is>
      </c>
      <c r="C24" s="3">
        <f>TotalHardCosts*0.02</f>
        <v/>
      </c>
      <c r="D24" s="3" t="n">
        <v>0</v>
      </c>
      <c r="E24" t="n">
        <v>1</v>
      </c>
      <c r="F24" s="3">
        <f>E24*(TotalRevenue/50)*0.20</f>
        <v/>
      </c>
      <c r="G24" s="3">
        <f>D24+F24</f>
        <v/>
      </c>
      <c r="H24" s="3">
        <f>G24-C24</f>
        <v/>
      </c>
      <c r="I24" s="3">
        <f>I23+H24</f>
        <v/>
      </c>
      <c r="J24" s="30">
        <f>IF(I24&lt;0,-I24,0)</f>
        <v/>
      </c>
    </row>
    <row r="25">
      <c r="A25" t="n">
        <v>21</v>
      </c>
      <c r="B25" t="inlineStr">
        <is>
          <t>Closeout</t>
        </is>
      </c>
      <c r="C25" s="3">
        <f>TotalHardCosts*0.01</f>
        <v/>
      </c>
      <c r="D25" s="3" t="n">
        <v>0</v>
      </c>
      <c r="E25" t="n">
        <v>1</v>
      </c>
      <c r="F25" s="3">
        <f>E25*(TotalRevenue/50)*0.20</f>
        <v/>
      </c>
      <c r="G25" s="3">
        <f>D25+F25</f>
        <v/>
      </c>
      <c r="H25" s="3">
        <f>G25-C25</f>
        <v/>
      </c>
      <c r="I25" s="3">
        <f>I24+H25</f>
        <v/>
      </c>
      <c r="J25" s="30">
        <f>IF(I25&lt;0,-I25,0)</f>
        <v/>
      </c>
    </row>
    <row r="26">
      <c r="A26" t="n">
        <v>22</v>
      </c>
      <c r="B26" t="inlineStr">
        <is>
          <t>Punch List</t>
        </is>
      </c>
      <c r="C26" s="3">
        <f>TotalHardCosts*0.01</f>
        <v/>
      </c>
      <c r="D26" s="3" t="n">
        <v>0</v>
      </c>
      <c r="E26" t="n">
        <v>1</v>
      </c>
      <c r="F26" s="3">
        <f>E26*(TotalRevenue/50)*0.20</f>
        <v/>
      </c>
      <c r="G26" s="3">
        <f>D26+F26</f>
        <v/>
      </c>
      <c r="H26" s="3">
        <f>G26-C26</f>
        <v/>
      </c>
      <c r="I26" s="3">
        <f>I25+H26</f>
        <v/>
      </c>
      <c r="J26" s="30">
        <f>IF(I26&lt;0,-I26,0)</f>
        <v/>
      </c>
    </row>
    <row r="27">
      <c r="A27" t="n">
        <v>23</v>
      </c>
      <c r="B27" t="inlineStr">
        <is>
          <t>Final Inspection</t>
        </is>
      </c>
      <c r="C27" s="3">
        <f>TotalHardCosts*0.005</f>
        <v/>
      </c>
      <c r="D27" s="3" t="n">
        <v>0</v>
      </c>
      <c r="E27" t="n">
        <v>0</v>
      </c>
      <c r="F27" s="3">
        <f>E27*(TotalRevenue/50)*0.20</f>
        <v/>
      </c>
      <c r="G27" s="3">
        <f>D27+F27</f>
        <v/>
      </c>
      <c r="H27" s="3">
        <f>G27-C27</f>
        <v/>
      </c>
      <c r="I27" s="3">
        <f>I26+H27</f>
        <v/>
      </c>
      <c r="J27" s="30">
        <f>IF(I27&lt;0,-I27,0)</f>
        <v/>
      </c>
    </row>
    <row r="28">
      <c r="A28" t="n">
        <v>24</v>
      </c>
      <c r="B28" t="inlineStr">
        <is>
          <t>CO &amp; Turnover</t>
        </is>
      </c>
      <c r="C28" s="3">
        <f>TotalHardCosts*0.005</f>
        <v/>
      </c>
      <c r="D28" s="3" t="n">
        <v>0</v>
      </c>
      <c r="E28" t="n">
        <v>0</v>
      </c>
      <c r="F28" s="3">
        <f>E28*(TotalRevenue/50)*0.20</f>
        <v/>
      </c>
      <c r="G28" s="3">
        <f>D28+F28</f>
        <v/>
      </c>
      <c r="H28" s="3">
        <f>G28-C28</f>
        <v/>
      </c>
      <c r="I28" s="3">
        <f>I27+H28</f>
        <v/>
      </c>
      <c r="J28" s="30">
        <f>IF(I28&lt;0,-I28,0)</f>
        <v/>
      </c>
    </row>
    <row r="29"/>
    <row r="30">
      <c r="A30" s="5" t="inlineStr">
        <is>
          <t>TOTALS:</t>
        </is>
      </c>
      <c r="C30" s="7">
        <f>SUM(C5:C28)</f>
        <v/>
      </c>
      <c r="D30" s="7">
        <f>SUM(D5:D28)</f>
        <v/>
      </c>
      <c r="E30" s="16">
        <f>SUM(E5:E28)</f>
        <v/>
      </c>
      <c r="F30" s="7">
        <f>SUM(F5:F28)</f>
        <v/>
      </c>
    </row>
    <row r="31"/>
    <row r="32">
      <c r="A32" s="31" t="inlineStr">
        <is>
          <t>MAX BRIDGE LOAN NEEDED:</t>
        </is>
      </c>
      <c r="B32" s="32">
        <f>MAX(J5:J29)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21" customWidth="1" min="3" max="3"/>
    <col width="13" customWidth="1" min="4" max="4"/>
    <col width="18" customWidth="1" min="5" max="5"/>
    <col width="20" customWidth="1" min="6" max="6"/>
    <col width="35" customWidth="1" min="7" max="7"/>
    <col width="11" customWidth="1" min="8" max="8"/>
  </cols>
  <sheetData>
    <row r="1">
      <c r="A1" s="10" t="inlineStr">
        <is>
          <t>GENERAL CONTRACTOR - REQUEST FOR QUOTE SUMMARY</t>
        </is>
      </c>
    </row>
    <row r="2">
      <c r="A2" t="inlineStr">
        <is>
          <t>NEVO Tower - 1580 79th St Causeway, North Bay Village, FL</t>
        </is>
      </c>
    </row>
    <row r="3">
      <c r="A3" t="inlineStr">
        <is>
          <t>Total Project: 108,675 GSF | 7 Stories + Rooftop | 50 Residential Units</t>
        </is>
      </c>
    </row>
    <row r="4"/>
    <row r="5">
      <c r="A5" s="17" t="inlineStr">
        <is>
          <t>CSI DIVISION BREAKDOWN - MATERIALS, LABOR &amp; WORKFORCE</t>
        </is>
      </c>
    </row>
    <row r="6">
      <c r="A6" s="17" t="inlineStr">
        <is>
          <t>CSI</t>
        </is>
      </c>
      <c r="B6" s="17" t="inlineStr">
        <is>
          <t>Description</t>
        </is>
      </c>
      <c r="C6" s="17" t="inlineStr">
        <is>
          <t>Total Cost</t>
        </is>
      </c>
      <c r="D6" s="17" t="inlineStr">
        <is>
          <t>Materials %</t>
        </is>
      </c>
      <c r="E6" s="17" t="inlineStr">
        <is>
          <t>Labor %</t>
        </is>
      </c>
      <c r="F6" s="17" t="inlineStr">
        <is>
          <t>Man-Hours</t>
        </is>
      </c>
      <c r="G6" s="17" t="inlineStr">
        <is>
          <t>Worker Type</t>
        </is>
      </c>
      <c r="H6" s="17" t="inlineStr">
        <is>
          <t>Crew Size</t>
        </is>
      </c>
    </row>
    <row r="7">
      <c r="A7" t="inlineStr">
        <is>
          <t>01</t>
        </is>
      </c>
      <c r="B7" t="inlineStr">
        <is>
          <t>General Requirements</t>
        </is>
      </c>
      <c r="C7" s="3">
        <f>10.53*108675</f>
        <v/>
      </c>
      <c r="D7" s="33" t="n">
        <v>0.4</v>
      </c>
      <c r="E7" s="33" t="n">
        <v>0.6</v>
      </c>
      <c r="F7" s="12" t="n">
        <v>15257</v>
      </c>
      <c r="G7" t="inlineStr">
        <is>
          <t>Project Management/Supervisors</t>
        </is>
      </c>
      <c r="H7" t="inlineStr">
        <is>
          <t>5-8</t>
        </is>
      </c>
    </row>
    <row r="8">
      <c r="A8" t="inlineStr">
        <is>
          <t>02</t>
        </is>
      </c>
      <c r="B8" t="inlineStr">
        <is>
          <t>Site Work &amp; Demolition</t>
        </is>
      </c>
      <c r="C8" s="3">
        <f>4.56*108675</f>
        <v/>
      </c>
      <c r="D8" s="33" t="n">
        <v>0.3</v>
      </c>
      <c r="E8" s="33" t="n">
        <v>0.7</v>
      </c>
      <c r="F8" s="12" t="n">
        <v>7708</v>
      </c>
      <c r="G8" t="inlineStr">
        <is>
          <t>Laborers/Equipment Operators</t>
        </is>
      </c>
      <c r="H8" t="inlineStr">
        <is>
          <t>6-10</t>
        </is>
      </c>
    </row>
    <row r="9">
      <c r="A9" t="inlineStr">
        <is>
          <t>03</t>
        </is>
      </c>
      <c r="B9" t="inlineStr">
        <is>
          <t>Concrete - PT Structure</t>
        </is>
      </c>
      <c r="C9" s="3">
        <f>39.47*108675</f>
        <v/>
      </c>
      <c r="D9" s="33" t="n">
        <v>0.45</v>
      </c>
      <c r="E9" s="33" t="n">
        <v>0.55</v>
      </c>
      <c r="F9" s="12" t="n">
        <v>52426</v>
      </c>
      <c r="G9" t="inlineStr">
        <is>
          <t>Concrete Workers/Ironworkers</t>
        </is>
      </c>
      <c r="H9" t="inlineStr">
        <is>
          <t>15-25</t>
        </is>
      </c>
    </row>
    <row r="10">
      <c r="A10" t="inlineStr">
        <is>
          <t>04</t>
        </is>
      </c>
      <c r="B10" t="inlineStr">
        <is>
          <t>Masonry</t>
        </is>
      </c>
      <c r="C10" s="3">
        <f>2.46*108675</f>
        <v/>
      </c>
      <c r="D10" s="33" t="n">
        <v>0.5</v>
      </c>
      <c r="E10" s="33" t="n">
        <v>0.5</v>
      </c>
      <c r="F10" s="12" t="n">
        <v>2970</v>
      </c>
      <c r="G10" t="inlineStr">
        <is>
          <t>Masons/Laborers</t>
        </is>
      </c>
      <c r="H10" t="inlineStr">
        <is>
          <t>4-6</t>
        </is>
      </c>
    </row>
    <row r="11">
      <c r="A11" t="inlineStr">
        <is>
          <t>05</t>
        </is>
      </c>
      <c r="B11" t="inlineStr">
        <is>
          <t>Metals &amp; Structural Steel</t>
        </is>
      </c>
      <c r="C11" s="3">
        <f>7.45*108675</f>
        <v/>
      </c>
      <c r="D11" s="33" t="n">
        <v>0.65</v>
      </c>
      <c r="E11" s="33" t="n">
        <v>0.35</v>
      </c>
      <c r="F11" s="12" t="n">
        <v>6297</v>
      </c>
      <c r="G11" t="inlineStr">
        <is>
          <t>Ironworkers/Welders</t>
        </is>
      </c>
      <c r="H11" t="inlineStr">
        <is>
          <t>6-10</t>
        </is>
      </c>
    </row>
    <row r="12">
      <c r="A12" t="inlineStr">
        <is>
          <t>06</t>
        </is>
      </c>
      <c r="B12" t="inlineStr">
        <is>
          <t>Wood &amp; Plastics</t>
        </is>
      </c>
      <c r="C12" s="3">
        <f>2.81*108675</f>
        <v/>
      </c>
      <c r="D12" s="33" t="n">
        <v>0.55</v>
      </c>
      <c r="E12" s="33" t="n">
        <v>0.45</v>
      </c>
      <c r="F12" s="12" t="n">
        <v>3053</v>
      </c>
      <c r="G12" t="inlineStr">
        <is>
          <t>Carpenters</t>
        </is>
      </c>
      <c r="H12" t="inlineStr">
        <is>
          <t>4-6</t>
        </is>
      </c>
    </row>
    <row r="13">
      <c r="A13" t="inlineStr">
        <is>
          <t>07</t>
        </is>
      </c>
      <c r="B13" t="inlineStr">
        <is>
          <t>Waterproofing &amp; Roofing</t>
        </is>
      </c>
      <c r="C13" s="3">
        <f>19.3*108675</f>
        <v/>
      </c>
      <c r="D13" s="33" t="n">
        <v>0.4</v>
      </c>
      <c r="E13" s="33" t="n">
        <v>0.6</v>
      </c>
      <c r="F13" s="12" t="n">
        <v>27965</v>
      </c>
      <c r="G13" t="inlineStr">
        <is>
          <t>Roofers/Waterproofing Specialists</t>
        </is>
      </c>
      <c r="H13" t="inlineStr">
        <is>
          <t>6-10</t>
        </is>
      </c>
    </row>
    <row r="14">
      <c r="A14" t="inlineStr">
        <is>
          <t>08</t>
        </is>
      </c>
      <c r="B14" t="inlineStr">
        <is>
          <t>Doors, Windows &amp; HVHZ Glazing</t>
        </is>
      </c>
      <c r="C14" s="3">
        <f>24.55*108675</f>
        <v/>
      </c>
      <c r="D14" s="33" t="n">
        <v>0.7</v>
      </c>
      <c r="E14" s="33" t="n">
        <v>0.3</v>
      </c>
      <c r="F14" s="12" t="n">
        <v>17786</v>
      </c>
      <c r="G14" t="inlineStr">
        <is>
          <t>Glaziers/Installation Specialists</t>
        </is>
      </c>
      <c r="H14" t="inlineStr">
        <is>
          <t>8-12</t>
        </is>
      </c>
    </row>
    <row r="15">
      <c r="A15" t="inlineStr">
        <is>
          <t>09</t>
        </is>
      </c>
      <c r="B15" t="inlineStr">
        <is>
          <t>Interior Finishes</t>
        </is>
      </c>
      <c r="C15" s="3">
        <f>36.83*108675</f>
        <v/>
      </c>
      <c r="D15" s="33" t="n">
        <v>0.45</v>
      </c>
      <c r="E15" s="33" t="n">
        <v>0.55</v>
      </c>
      <c r="F15" s="12" t="n">
        <v>48919</v>
      </c>
      <c r="G15" t="inlineStr">
        <is>
          <t>Carpenters/Painters/Drywall</t>
        </is>
      </c>
      <c r="H15" t="inlineStr">
        <is>
          <t>20-30</t>
        </is>
      </c>
    </row>
    <row r="16">
      <c r="A16" t="inlineStr">
        <is>
          <t>10</t>
        </is>
      </c>
      <c r="B16" t="inlineStr">
        <is>
          <t>Specialties</t>
        </is>
      </c>
      <c r="C16" s="3">
        <f>3.95*108675</f>
        <v/>
      </c>
      <c r="D16" s="33" t="n">
        <v>0.75</v>
      </c>
      <c r="E16" s="33" t="n">
        <v>0.25</v>
      </c>
      <c r="F16" s="12" t="n">
        <v>2384</v>
      </c>
      <c r="G16" t="inlineStr">
        <is>
          <t>Specialty Installers</t>
        </is>
      </c>
      <c r="H16" t="inlineStr">
        <is>
          <t>2-4</t>
        </is>
      </c>
    </row>
    <row r="17">
      <c r="A17" t="inlineStr">
        <is>
          <t>11</t>
        </is>
      </c>
      <c r="B17" t="inlineStr">
        <is>
          <t>Equipment</t>
        </is>
      </c>
      <c r="C17" s="3">
        <f>3.33*108675</f>
        <v/>
      </c>
      <c r="D17" s="33" t="n">
        <v>0.8</v>
      </c>
      <c r="E17" s="33" t="n">
        <v>0.2</v>
      </c>
      <c r="F17" s="12" t="n">
        <v>1608</v>
      </c>
      <c r="G17" t="inlineStr">
        <is>
          <t>Equipment Installers</t>
        </is>
      </c>
      <c r="H17" t="inlineStr">
        <is>
          <t>2-4</t>
        </is>
      </c>
    </row>
    <row r="18">
      <c r="A18" t="inlineStr">
        <is>
          <t>12</t>
        </is>
      </c>
      <c r="B18" t="inlineStr">
        <is>
          <t>Furnishings</t>
        </is>
      </c>
      <c r="C18" s="3">
        <f>1.05*108675</f>
        <v/>
      </c>
      <c r="D18" s="33" t="n">
        <v>0.85</v>
      </c>
      <c r="E18" s="33" t="n">
        <v>0.15</v>
      </c>
      <c r="F18" s="12" t="n">
        <v>380</v>
      </c>
      <c r="G18" t="inlineStr">
        <is>
          <t>Installers</t>
        </is>
      </c>
      <c r="H18" t="inlineStr">
        <is>
          <t>2-3</t>
        </is>
      </c>
    </row>
    <row r="19">
      <c r="A19" t="inlineStr">
        <is>
          <t>13</t>
        </is>
      </c>
      <c r="B19" t="inlineStr">
        <is>
          <t>Special Construction</t>
        </is>
      </c>
      <c r="C19" s="3">
        <f>1.58*108675</f>
        <v/>
      </c>
      <c r="D19" s="33" t="n">
        <v>0.6</v>
      </c>
      <c r="E19" s="33" t="n">
        <v>0.4</v>
      </c>
      <c r="F19" s="12" t="n">
        <v>1526</v>
      </c>
      <c r="G19" t="inlineStr">
        <is>
          <t>Specialty Contractors</t>
        </is>
      </c>
      <c r="H19" t="inlineStr">
        <is>
          <t>3-5</t>
        </is>
      </c>
    </row>
    <row r="20">
      <c r="A20" t="inlineStr">
        <is>
          <t>14</t>
        </is>
      </c>
      <c r="B20" t="inlineStr">
        <is>
          <t>Elevators</t>
        </is>
      </c>
      <c r="C20" s="3">
        <f>3.1*108675</f>
        <v/>
      </c>
      <c r="D20" s="33" t="n">
        <v>0.75</v>
      </c>
      <c r="E20" s="33" t="n">
        <v>0.25</v>
      </c>
      <c r="F20" s="12" t="n">
        <v>1871</v>
      </c>
      <c r="G20" t="inlineStr">
        <is>
          <t>Elevator Mechanics/Technicians</t>
        </is>
      </c>
      <c r="H20" t="inlineStr">
        <is>
          <t>4-6</t>
        </is>
      </c>
    </row>
    <row r="21">
      <c r="A21" t="inlineStr">
        <is>
          <t>21</t>
        </is>
      </c>
      <c r="B21" t="inlineStr">
        <is>
          <t>Fire Suppression</t>
        </is>
      </c>
      <c r="C21" s="3">
        <f>6.58*108675</f>
        <v/>
      </c>
      <c r="D21" s="33" t="n">
        <v>0.5</v>
      </c>
      <c r="E21" s="33" t="n">
        <v>0.5</v>
      </c>
      <c r="F21" s="12" t="n">
        <v>7945</v>
      </c>
      <c r="G21" t="inlineStr">
        <is>
          <t>Pipefitters/Sprinkler Fitters</t>
        </is>
      </c>
      <c r="H21" t="inlineStr">
        <is>
          <t>4-6</t>
        </is>
      </c>
    </row>
    <row r="22">
      <c r="A22" t="inlineStr">
        <is>
          <t>22</t>
        </is>
      </c>
      <c r="B22" t="inlineStr">
        <is>
          <t>Plumbing</t>
        </is>
      </c>
      <c r="C22" s="3">
        <f>8.77*108675</f>
        <v/>
      </c>
      <c r="D22" s="33" t="n">
        <v>0.45</v>
      </c>
      <c r="E22" s="33" t="n">
        <v>0.55</v>
      </c>
      <c r="F22" s="12" t="n">
        <v>11648</v>
      </c>
      <c r="G22" t="inlineStr">
        <is>
          <t>Plumbers/Pipefitters</t>
        </is>
      </c>
      <c r="H22" t="inlineStr">
        <is>
          <t>6-10</t>
        </is>
      </c>
    </row>
    <row r="23">
      <c r="A23" t="inlineStr">
        <is>
          <t>23</t>
        </is>
      </c>
      <c r="B23" t="inlineStr">
        <is>
          <t>HVAC</t>
        </is>
      </c>
      <c r="C23" s="3">
        <f>13.15*108675</f>
        <v/>
      </c>
      <c r="D23" s="33" t="n">
        <v>0.5</v>
      </c>
      <c r="E23" s="33" t="n">
        <v>0.5</v>
      </c>
      <c r="F23" s="12" t="n">
        <v>15878</v>
      </c>
      <c r="G23" t="inlineStr">
        <is>
          <t>HVAC Technicians/Sheet Metal</t>
        </is>
      </c>
      <c r="H23" t="inlineStr">
        <is>
          <t>8-12</t>
        </is>
      </c>
    </row>
    <row r="24">
      <c r="A24" t="inlineStr">
        <is>
          <t>26</t>
        </is>
      </c>
      <c r="B24" t="inlineStr">
        <is>
          <t>Electrical</t>
        </is>
      </c>
      <c r="C24" s="3">
        <f>13.15*108675</f>
        <v/>
      </c>
      <c r="D24" s="33" t="n">
        <v>0.4</v>
      </c>
      <c r="E24" s="33" t="n">
        <v>0.6</v>
      </c>
      <c r="F24" s="12" t="n">
        <v>19054</v>
      </c>
      <c r="G24" t="inlineStr">
        <is>
          <t>Electricians/Low Voltage Tech</t>
        </is>
      </c>
      <c r="H24" t="inlineStr">
        <is>
          <t>10-15</t>
        </is>
      </c>
    </row>
    <row r="25">
      <c r="A25" t="inlineStr">
        <is>
          <t>27</t>
        </is>
      </c>
      <c r="B25" t="inlineStr">
        <is>
          <t>Communications &amp; Data</t>
        </is>
      </c>
      <c r="C25" s="3">
        <f>1.75*108675</f>
        <v/>
      </c>
      <c r="D25" s="33" t="n">
        <v>0.6</v>
      </c>
      <c r="E25" s="33" t="n">
        <v>0.4</v>
      </c>
      <c r="F25" s="12" t="n">
        <v>1690</v>
      </c>
      <c r="G25" t="inlineStr">
        <is>
          <t>Low Voltage Technicians</t>
        </is>
      </c>
      <c r="H25" t="inlineStr">
        <is>
          <t>3-5</t>
        </is>
      </c>
    </row>
    <row r="26">
      <c r="A26" t="inlineStr">
        <is>
          <t>28</t>
        </is>
      </c>
      <c r="B26" t="inlineStr">
        <is>
          <t>Security &amp; Fire Alarm</t>
        </is>
      </c>
      <c r="C26" s="3">
        <f>1.75*108675</f>
        <v/>
      </c>
      <c r="D26" s="33" t="n">
        <v>0.65</v>
      </c>
      <c r="E26" s="33" t="n">
        <v>0.35</v>
      </c>
      <c r="F26" s="12" t="n">
        <v>1479</v>
      </c>
      <c r="G26" t="inlineStr">
        <is>
          <t>Security/Fire Alarm Techs</t>
        </is>
      </c>
      <c r="H26" t="inlineStr">
        <is>
          <t>3-4</t>
        </is>
      </c>
    </row>
    <row r="27">
      <c r="A27" t="inlineStr">
        <is>
          <t>31</t>
        </is>
      </c>
      <c r="B27" t="inlineStr">
        <is>
          <t>Earthwork</t>
        </is>
      </c>
      <c r="C27" s="3">
        <f>3.68*108675</f>
        <v/>
      </c>
      <c r="D27" s="33" t="n">
        <v>0.25</v>
      </c>
      <c r="E27" s="33" t="n">
        <v>0.75</v>
      </c>
      <c r="F27" s="12" t="n">
        <v>6665</v>
      </c>
      <c r="G27" t="inlineStr">
        <is>
          <t>Equipment Operators/Laborers</t>
        </is>
      </c>
      <c r="H27" t="inlineStr">
        <is>
          <t>6-8</t>
        </is>
      </c>
    </row>
    <row r="28">
      <c r="A28" t="inlineStr">
        <is>
          <t>32</t>
        </is>
      </c>
      <c r="B28" t="inlineStr">
        <is>
          <t>Exterior Improvements</t>
        </is>
      </c>
      <c r="C28" s="3">
        <f>3.51*108675</f>
        <v/>
      </c>
      <c r="D28" s="33" t="n">
        <v>0.5</v>
      </c>
      <c r="E28" s="33" t="n">
        <v>0.5</v>
      </c>
      <c r="F28" s="12" t="n">
        <v>4238</v>
      </c>
      <c r="G28" t="inlineStr">
        <is>
          <t>Landscapers/Pavers/Masons</t>
        </is>
      </c>
      <c r="H28" t="inlineStr">
        <is>
          <t>6-10</t>
        </is>
      </c>
    </row>
    <row r="29">
      <c r="A29" t="inlineStr">
        <is>
          <t>33</t>
        </is>
      </c>
      <c r="B29" t="inlineStr">
        <is>
          <t>Utilities</t>
        </is>
      </c>
      <c r="C29" s="3">
        <f>2.81*108675</f>
        <v/>
      </c>
      <c r="D29" s="33" t="n">
        <v>0.55</v>
      </c>
      <c r="E29" s="33" t="n">
        <v>0.45</v>
      </c>
      <c r="F29" s="12" t="n">
        <v>3053</v>
      </c>
      <c r="G29" t="inlineStr">
        <is>
          <t>Utility Workers/Excavators</t>
        </is>
      </c>
      <c r="H29" t="inlineStr">
        <is>
          <t>4-6</t>
        </is>
      </c>
    </row>
    <row r="30">
      <c r="B30" s="16" t="inlineStr">
        <is>
          <t>SUBTOTAL - Direct Costs</t>
        </is>
      </c>
      <c r="C30" s="19">
        <f>SUM(C7:C29)</f>
        <v/>
      </c>
      <c r="F30" s="34">
        <f>SUM(F7:F29)</f>
        <v/>
      </c>
    </row>
    <row r="31"/>
    <row r="32">
      <c r="B32" t="inlineStr">
        <is>
          <t>General Conditions (9%)</t>
        </is>
      </c>
      <c r="C32" s="3">
        <f>C30*GC_GC</f>
        <v/>
      </c>
      <c r="F32" s="12" t="n">
        <v>13090</v>
      </c>
      <c r="G32" t="inlineStr">
        <is>
          <t>Project Manager/Super/Admin</t>
        </is>
      </c>
    </row>
    <row r="33">
      <c r="B33" t="inlineStr">
        <is>
          <t>Overhead &amp; Profit (10%)</t>
        </is>
      </c>
      <c r="C33" s="3">
        <f>(C30+C32)*GC_OHP</f>
        <v/>
      </c>
    </row>
    <row r="34">
      <c r="B34" t="inlineStr">
        <is>
          <t>Contingencies (16%)</t>
        </is>
      </c>
      <c r="C34" s="3">
        <f>(C30+C32+C33)*0.16</f>
        <v/>
      </c>
    </row>
    <row r="35"/>
    <row r="36">
      <c r="B36" s="5" t="inlineStr">
        <is>
          <t>TOTAL HARD COSTS</t>
        </is>
      </c>
      <c r="C36" s="6">
        <f>TotalHardCosts</f>
        <v/>
      </c>
      <c r="F36" s="35">
        <f>F30+F32</f>
        <v/>
      </c>
    </row>
    <row r="37"/>
    <row r="38"/>
    <row r="39">
      <c r="A39" s="17" t="inlineStr">
        <is>
          <t>WORKFORCE SUMMARY</t>
        </is>
      </c>
    </row>
    <row r="40">
      <c r="A40" s="17" t="inlineStr">
        <is>
          <t>Category</t>
        </is>
      </c>
      <c r="B40" s="17" t="inlineStr">
        <is>
          <t>Worker Types</t>
        </is>
      </c>
      <c r="C40" s="17" t="inlineStr">
        <is>
          <t>Est. Man-Hours</t>
        </is>
      </c>
      <c r="D40" s="17" t="inlineStr">
        <is>
          <t>Avg Rate/Hr</t>
        </is>
      </c>
      <c r="E40" s="17" t="inlineStr">
        <is>
          <t>Total Labor Cost</t>
        </is>
      </c>
      <c r="F40" s="17" t="inlineStr">
        <is>
          <t>Peak Workers</t>
        </is>
      </c>
      <c r="G40" s="17" t="inlineStr">
        <is>
          <t>Duration</t>
        </is>
      </c>
    </row>
    <row r="41">
      <c r="A41" t="inlineStr">
        <is>
          <t>Skilled Trades</t>
        </is>
      </c>
      <c r="B41" t="inlineStr">
        <is>
          <t>Concrete, Ironworkers, Electricians, Plumbers, HVAC</t>
        </is>
      </c>
      <c r="C41" s="12" t="n">
        <v>130900</v>
      </c>
      <c r="D41" s="3" t="n">
        <v>55</v>
      </c>
      <c r="E41" s="3">
        <f>C41*D41</f>
        <v/>
      </c>
      <c r="F41">
        <f>INT(C41/2000*1.5)</f>
        <v/>
      </c>
      <c r="G41" t="inlineStr">
        <is>
          <t>18-24 months</t>
        </is>
      </c>
    </row>
    <row r="42">
      <c r="A42" t="inlineStr">
        <is>
          <t>Semi-Skilled</t>
        </is>
      </c>
      <c r="B42" t="inlineStr">
        <is>
          <t>Carpenters, Masons, Painters, Drywall</t>
        </is>
      </c>
      <c r="C42" s="12" t="n">
        <v>65450</v>
      </c>
      <c r="D42" s="3" t="n">
        <v>40</v>
      </c>
      <c r="E42" s="3">
        <f>C42*D42</f>
        <v/>
      </c>
      <c r="F42">
        <f>INT(C42/2000*1.5)</f>
        <v/>
      </c>
      <c r="G42" t="inlineStr">
        <is>
          <t>12-20 months</t>
        </is>
      </c>
    </row>
    <row r="43">
      <c r="A43" t="inlineStr">
        <is>
          <t>Laborers</t>
        </is>
      </c>
      <c r="B43" t="inlineStr">
        <is>
          <t>General Labor, Site Work, Material Handling</t>
        </is>
      </c>
      <c r="C43" s="12" t="n">
        <v>39270</v>
      </c>
      <c r="D43" s="3" t="n">
        <v>30</v>
      </c>
      <c r="E43" s="3">
        <f>C43*D43</f>
        <v/>
      </c>
      <c r="F43">
        <f>INT(C43/2000*1.5)</f>
        <v/>
      </c>
      <c r="G43" t="inlineStr">
        <is>
          <t>1-24 months</t>
        </is>
      </c>
    </row>
    <row r="44">
      <c r="A44" t="inlineStr">
        <is>
          <t>Specialists</t>
        </is>
      </c>
      <c r="B44" t="inlineStr">
        <is>
          <t>Glaziers, Waterproofing, Elevator Techs</t>
        </is>
      </c>
      <c r="C44" s="12" t="n">
        <v>20944</v>
      </c>
      <c r="D44" s="3" t="n">
        <v>60</v>
      </c>
      <c r="E44" s="3">
        <f>C44*D44</f>
        <v/>
      </c>
      <c r="F44">
        <f>INT(C44/2000*1.5)</f>
        <v/>
      </c>
      <c r="G44" t="inlineStr">
        <is>
          <t>8-18 months</t>
        </is>
      </c>
    </row>
    <row r="45">
      <c r="A45" t="inlineStr">
        <is>
          <t>Management/Super</t>
        </is>
      </c>
      <c r="B45" t="inlineStr">
        <is>
          <t>PM, Superintendent, Foremen, Admin</t>
        </is>
      </c>
      <c r="C45" s="12" t="n">
        <v>5236</v>
      </c>
      <c r="D45" s="3" t="n">
        <v>75</v>
      </c>
      <c r="E45" s="3">
        <f>C45*D45</f>
        <v/>
      </c>
      <c r="F45">
        <f>INT(C45/2000*1.5)</f>
        <v/>
      </c>
      <c r="G45" t="inlineStr">
        <is>
          <t>1-24 months</t>
        </is>
      </c>
    </row>
    <row r="46"/>
    <row r="47">
      <c r="A47" s="16" t="inlineStr">
        <is>
          <t>TOTAL WORKFORCE</t>
        </is>
      </c>
      <c r="C47" s="36">
        <f>SUM(C41:C45)</f>
        <v/>
      </c>
      <c r="E47" s="7">
        <f>SUM(E41:E45)</f>
        <v/>
      </c>
      <c r="F47" s="16">
        <f>SUM(F41:F45)</f>
        <v/>
      </c>
    </row>
  </sheetData>
  <mergeCells count="5">
    <mergeCell ref="A1:H1"/>
    <mergeCell ref="A3:H3"/>
    <mergeCell ref="A39:H39"/>
    <mergeCell ref="A2:H2"/>
    <mergeCell ref="A5:H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0" customWidth="1" min="1" max="1"/>
    <col width="45" customWidth="1" min="2" max="2"/>
  </cols>
  <sheetData>
    <row r="1">
      <c r="A1" s="10" t="inlineStr">
        <is>
          <t>HOW TO KEEP THIS WORKBOOK IN SYNC</t>
        </is>
      </c>
    </row>
    <row r="2"/>
    <row r="3">
      <c r="A3" t="inlineStr">
        <is>
          <t>YELLOW CELLS = EDITABLE</t>
        </is>
      </c>
      <c r="B3" t="inlineStr">
        <is>
          <t>You can change these values</t>
        </is>
      </c>
    </row>
    <row r="4">
      <c r="A4" t="inlineStr"/>
      <c r="B4" t="inlineStr"/>
    </row>
    <row r="5">
      <c r="A5" t="inlineStr">
        <is>
          <t>When you edit a yellow cell:</t>
        </is>
      </c>
      <c r="B5" t="inlineStr">
        <is>
          <t>All formulas update automatically</t>
        </is>
      </c>
    </row>
    <row r="6">
      <c r="A6" t="inlineStr"/>
      <c r="B6" t="inlineStr"/>
    </row>
    <row r="7">
      <c r="A7" t="inlineStr">
        <is>
          <t>Named Ranges:</t>
        </is>
      </c>
      <c r="B7" t="inlineStr">
        <is>
          <t>Connect sheets together</t>
        </is>
      </c>
    </row>
    <row r="8">
      <c r="A8" t="inlineStr">
        <is>
          <t>Example:</t>
        </is>
      </c>
      <c r="B8" t="inlineStr">
        <is>
          <t>TotalHardCosts pulls from Hard Costs sheet</t>
        </is>
      </c>
    </row>
    <row r="9">
      <c r="A9" t="inlineStr"/>
      <c r="B9" t="inlineStr"/>
    </row>
    <row r="10">
      <c r="A10" t="inlineStr">
        <is>
          <t>To regenerate this file:</t>
        </is>
      </c>
      <c r="B10" t="inlineStr">
        <is>
          <t>Run scripts/make_interactive_workbook_v3.py</t>
        </is>
      </c>
    </row>
    <row r="11">
      <c r="A11" t="inlineStr"/>
      <c r="B11" t="inlineStr"/>
    </row>
    <row r="12">
      <c r="A12" s="16" t="inlineStr">
        <is>
          <t>ALL 11 CORRECTIONS APPLIED:</t>
        </is>
      </c>
      <c r="B12" t="inlineStr"/>
    </row>
    <row r="13">
      <c r="A13" t="inlineStr">
        <is>
          <t>1. Summary - % in column C</t>
        </is>
      </c>
      <c r="B13" s="37" t="inlineStr">
        <is>
          <t>✓</t>
        </is>
      </c>
    </row>
    <row r="14">
      <c r="A14" t="inlineStr">
        <is>
          <t>2. Assumptions - % in columns C &amp; D</t>
        </is>
      </c>
      <c r="B14" s="37" t="inlineStr">
        <is>
          <t>✓</t>
        </is>
      </c>
    </row>
    <row r="15">
      <c r="A15" t="inlineStr">
        <is>
          <t>3. Soft costs = 12% of project cost</t>
        </is>
      </c>
      <c r="B15" s="37" t="inlineStr">
        <is>
          <t>✓</t>
        </is>
      </c>
    </row>
    <row r="16">
      <c r="A16" t="inlineStr">
        <is>
          <t>4. All formulas use named ranges</t>
        </is>
      </c>
      <c r="B16" s="37" t="inlineStr">
        <is>
          <t>✓</t>
        </is>
      </c>
    </row>
    <row r="17">
      <c r="A17" t="inlineStr">
        <is>
          <t>5. Cash flow with formulas &amp; 50 units</t>
        </is>
      </c>
      <c r="B17" s="37" t="inlineStr">
        <is>
          <t>✓</t>
        </is>
      </c>
    </row>
    <row r="18">
      <c r="A18" t="inlineStr">
        <is>
          <t>6. SC Cash OUT label corrected</t>
        </is>
      </c>
      <c r="B18" s="37" t="inlineStr">
        <is>
          <t>✓</t>
        </is>
      </c>
    </row>
    <row r="19">
      <c r="A19" t="inlineStr">
        <is>
          <t>7. Auto-fit columns</t>
        </is>
      </c>
      <c r="B19" s="37" t="inlineStr">
        <is>
          <t>✓</t>
        </is>
      </c>
    </row>
    <row r="20">
      <c r="A20" t="inlineStr">
        <is>
          <t>8. SF with commas throughout</t>
        </is>
      </c>
      <c r="B20" s="37" t="inlineStr">
        <is>
          <t>✓</t>
        </is>
      </c>
    </row>
    <row r="21">
      <c r="A21" t="inlineStr">
        <is>
          <t>9. Soft costs categorized IN-KIND/CASH</t>
        </is>
      </c>
      <c r="B21" s="37" t="inlineStr">
        <is>
          <t>✓</t>
        </is>
      </c>
    </row>
    <row r="22">
      <c r="A22" t="inlineStr">
        <is>
          <t>10. Project deal sheet corrected</t>
        </is>
      </c>
      <c r="B22" s="37" t="inlineStr">
        <is>
          <t>✓</t>
        </is>
      </c>
    </row>
    <row r="23">
      <c r="A23" t="inlineStr">
        <is>
          <t>11. All sheets formatted properly</t>
        </is>
      </c>
      <c r="B23" s="37" t="inlineStr">
        <is>
          <t>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2025-11-06T05:23:26Z</dcterms:created>
  <dcterms:modified xsi:type="dcterms:W3CDTF">2025-11-06T05:23:26Z</dcterms:modified>
</cp:coreProperties>
</file>