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Hard Costs - APC Filigree" sheetId="3" state="visible" r:id="rId3"/>
    <sheet name="Hard Costs" sheetId="4" state="visible" r:id="rId4"/>
    <sheet name="Soft Costs" sheetId="5" state="visible" r:id="rId5"/>
    <sheet name="Revenue" sheetId="6" state="visible" r:id="rId6"/>
    <sheet name="Project Deal Structure" sheetId="7" state="visible" r:id="rId7"/>
    <sheet name="24-Month Cash Flow" sheetId="8" state="visible" r:id="rId8"/>
    <sheet name="GC RFQ Summary" sheetId="9" state="visible" r:id="rId9"/>
    <sheet name="Sync Instructions" sheetId="10" state="visible" r:id="rId10"/>
    <sheet name="Measurements 50" sheetId="11" state="visible" r:id="rId11"/>
    <sheet name="RFQ - APC Filigree Detail" sheetId="12" state="visible" r:id="rId12"/>
  </sheets>
  <definedNames>
    <definedName name="TotalProjectCost">Summary!$B$8</definedName>
    <definedName name="GrossProfit">Summary!$B$14</definedName>
    <definedName name="TotalNSF">Assumptions!$B$6</definedName>
    <definedName name="LandPartner_Land">Assumptions!$B$11</definedName>
    <definedName name="LandPartner_Cash1">Assumptions!$B$12</definedName>
    <definedName name="LandPartner_Cash2">Assumptions!$B$13</definedName>
    <definedName name="LandPartner_Deferred">Assumptions!$B$14</definedName>
    <definedName name="GC_OHP">Assumptions!$B$18</definedName>
    <definedName name="GC_GC">Assumptions!$B$19</definedName>
    <definedName name="Design_Cont">Assumptions!$B$20</definedName>
    <definedName name="Constr_Cont">Assumptions!$B$21</definedName>
    <definedName name="Owner_Cont">Assumptions!$B$22</definedName>
    <definedName name="AE_Rate">Assumptions!$B$23</definedName>
    <definedName name="Marketing_Rate">Assumptions!$B$24</definedName>
    <definedName name="Finance_Rate">Assumptions!$B$25</definedName>
    <definedName name="LTC">Assumptions!$B$26</definedName>
    <definedName name="Duration">Assumptions!$B$27</definedName>
    <definedName name="TotalGSF">Assumptions!$B$5</definedName>
    <definedName name="ConstructionSubtotal">'Hard Costs'!$E$27</definedName>
    <definedName name="TotalHardCosts">'Hard Costs'!$E$38</definedName>
    <definedName name="TotalInKindCosts">'Soft Costs'!$B$10</definedName>
    <definedName name="TotalCashSoftCosts">'Soft Costs'!$B$19</definedName>
    <definedName name="TotalSoftCosts">'Soft Costs'!$B$25</definedName>
    <definedName name="TotalRevenue">'Revenue'!$F$9</definedName>
    <definedName name="Synagogue_Cost">'Revenue'!$F$7</definedName>
    <definedName name="TotalFinancingCosts">'24-Month Cash Flow'!$B$33</definedName>
    <definedName name="TotalHardCosts_APC">'Hard Costs - APC Filigree'!$E$43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$#,##0.00"/>
    <numFmt numFmtId="167" formatCode="&quot;$&quot;#,##0"/>
    <numFmt numFmtId="168" formatCode="#,##0.0"/>
  </numFmts>
  <fonts count="31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color rgb="00FFFFFF"/>
      <sz val="12"/>
    </font>
    <font>
      <b val="1"/>
      <color rgb="00FFFFFF"/>
    </font>
    <font>
      <b val="1"/>
      <sz val="11"/>
    </font>
    <font>
      <i val="1"/>
    </font>
    <font>
      <b val="1"/>
      <color rgb="00FF0000"/>
    </font>
    <font>
      <b val="1"/>
      <color rgb="00008000"/>
      <sz val="12"/>
    </font>
    <font>
      <b val="1"/>
      <color rgb="00FF0000"/>
      <sz val="12"/>
    </font>
    <font>
      <b val="1"/>
      <color rgb="000000FF"/>
      <sz val="12"/>
    </font>
    <font>
      <b val="1"/>
      <color rgb="00008000"/>
      <sz val="14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theme="1"/>
      <sz val="10"/>
    </font>
    <font>
      <name val="Arial"/>
      <b val="1"/>
      <color theme="1"/>
      <sz val="9"/>
    </font>
    <font>
      <name val="Arial"/>
      <b val="1"/>
      <color theme="1"/>
      <sz val="12"/>
    </font>
    <font>
      <name val="Arial"/>
      <color theme="1"/>
      <sz val="12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z val="11"/>
    </font>
    <font>
      <name val="Arial"/>
      <b val="1"/>
      <color theme="1"/>
      <sz val="14"/>
    </font>
    <font>
      <name val="Arial"/>
      <b val="1"/>
      <color theme="1"/>
    </font>
    <font>
      <b val="1"/>
      <color rgb="00006100"/>
    </font>
    <font>
      <b val="1"/>
      <color rgb="00006100"/>
      <sz val="12"/>
    </font>
    <font>
      <b val="1"/>
      <color rgb="00006100"/>
      <sz val="14"/>
    </font>
    <font>
      <b val="1"/>
      <i val="1"/>
    </font>
    <font>
      <color rgb="00006100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E6F3FF"/>
        <bgColor rgb="00E6F3FF"/>
      </patternFill>
    </fill>
    <fill>
      <patternFill patternType="solid">
        <fgColor rgb="00FFE6E6"/>
        <bgColor rgb="00FFE6E6"/>
      </patternFill>
    </fill>
    <fill>
      <patternFill patternType="solid">
        <fgColor rgb="00FFFFCC"/>
        <bgColor rgb="00FFFFCC"/>
      </patternFill>
    </fill>
    <fill>
      <patternFill patternType="solid">
        <fgColor rgb="00FFFF00"/>
        <bgColor rgb="00FFFF00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0000FF00"/>
        <bgColor rgb="0000FF00"/>
      </patternFill>
    </fill>
  </fills>
  <borders count="3">
    <border>
      <left/>
      <right/>
      <top/>
      <bottom/>
      <diagonal/>
    </border>
    <border/>
    <border>
      <right/>
      <bottom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3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3" fillId="5" borderId="0" pivotButton="0" quotePrefix="0" xfId="0"/>
    <xf numFmtId="0" fontId="4" fillId="0" borderId="0" pivotButton="0" quotePrefix="0" xfId="0"/>
    <xf numFmtId="0" fontId="7" fillId="2" borderId="0" pivotButton="0" quotePrefix="0" xfId="0"/>
    <xf numFmtId="166" fontId="0" fillId="4" borderId="0" pivotButton="0" quotePrefix="0" xfId="0"/>
    <xf numFmtId="164" fontId="0" fillId="6" borderId="0" pivotButton="0" quotePrefix="0" xfId="0"/>
    <xf numFmtId="166" fontId="4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164" fontId="4" fillId="6" borderId="0" pivotButton="0" quotePrefix="0" xfId="0"/>
    <xf numFmtId="0" fontId="8" fillId="8" borderId="0" pivotButton="0" quotePrefix="0" xfId="0"/>
    <xf numFmtId="0" fontId="0" fillId="8" borderId="0" pivotButton="0" quotePrefix="0" xfId="0"/>
    <xf numFmtId="0" fontId="8" fillId="9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10" borderId="0" pivotButton="0" quotePrefix="0" xfId="0"/>
    <xf numFmtId="0" fontId="0" fillId="5" borderId="0" pivotButton="0" quotePrefix="0" xfId="0"/>
    <xf numFmtId="0" fontId="10" fillId="0" borderId="0" pivotButton="0" quotePrefix="0" xfId="0"/>
    <xf numFmtId="0" fontId="0" fillId="10" borderId="0" pivotButton="0" quotePrefix="0" xfId="0"/>
    <xf numFmtId="0" fontId="0" fillId="3" borderId="0" pivotButton="0" quotePrefix="0" xfId="0"/>
    <xf numFmtId="0" fontId="11" fillId="10" borderId="0" pivotButton="0" quotePrefix="0" xfId="0"/>
    <xf numFmtId="164" fontId="0" fillId="10" borderId="0" pivotButton="0" quotePrefix="0" xfId="0"/>
    <xf numFmtId="164" fontId="0" fillId="5" borderId="0" pivotButton="0" quotePrefix="0" xfId="0"/>
    <xf numFmtId="0" fontId="12" fillId="0" borderId="0" pivotButton="0" quotePrefix="0" xfId="0"/>
    <xf numFmtId="164" fontId="3" fillId="10" borderId="0" pivotButton="0" quotePrefix="0" xfId="0"/>
    <xf numFmtId="0" fontId="13" fillId="0" borderId="0" pivotButton="0" quotePrefix="0" xfId="0"/>
    <xf numFmtId="9" fontId="0" fillId="0" borderId="0" pivotButton="0" quotePrefix="0" xfId="0"/>
    <xf numFmtId="3" fontId="0" fillId="6" borderId="0" pivotButton="0" quotePrefix="0" xfId="0"/>
    <xf numFmtId="3" fontId="4" fillId="3" borderId="0" pivotButton="0" quotePrefix="0" xfId="0"/>
    <xf numFmtId="3" fontId="4" fillId="0" borderId="0" pivotButton="0" quotePrefix="0" xfId="0"/>
    <xf numFmtId="0" fontId="14" fillId="0" borderId="0" pivotButton="0" quotePrefix="0" xfId="0"/>
    <xf numFmtId="0" fontId="15" fillId="0" borderId="1" applyAlignment="1" pivotButton="0" quotePrefix="0" xfId="0">
      <alignment horizontal="center"/>
    </xf>
    <xf numFmtId="1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 wrapText="1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3" fontId="17" fillId="0" borderId="1" applyAlignment="1" pivotButton="0" quotePrefix="0" xfId="0">
      <alignment horizontal="center"/>
    </xf>
    <xf numFmtId="3" fontId="17" fillId="0" borderId="1" pivotButton="0" quotePrefix="0" xfId="0"/>
    <xf numFmtId="165" fontId="18" fillId="0" borderId="1" applyAlignment="1" pivotButton="0" quotePrefix="0" xfId="0">
      <alignment horizontal="center"/>
    </xf>
    <xf numFmtId="1" fontId="17" fillId="0" borderId="1" pivotButton="0" quotePrefix="0" xfId="0"/>
    <xf numFmtId="0" fontId="17" fillId="0" borderId="1" pivotButton="0" quotePrefix="0" xfId="0"/>
    <xf numFmtId="167" fontId="17" fillId="0" borderId="1" pivotButton="0" quotePrefix="0" xfId="0"/>
    <xf numFmtId="0" fontId="19" fillId="0" borderId="1" applyAlignment="1" pivotButton="0" quotePrefix="0" xfId="0">
      <alignment horizontal="center"/>
    </xf>
    <xf numFmtId="168" fontId="19" fillId="0" borderId="1" applyAlignment="1" pivotButton="0" quotePrefix="0" xfId="0">
      <alignment horizontal="center"/>
    </xf>
    <xf numFmtId="0" fontId="20" fillId="0" borderId="1" pivotButton="0" quotePrefix="0" xfId="0"/>
    <xf numFmtId="3" fontId="19" fillId="0" borderId="1" applyAlignment="1" pivotButton="0" quotePrefix="0" xfId="0">
      <alignment horizontal="center"/>
    </xf>
    <xf numFmtId="0" fontId="21" fillId="0" borderId="1" pivotButton="0" quotePrefix="0" xfId="0"/>
    <xf numFmtId="3" fontId="15" fillId="0" borderId="1" applyAlignment="1" pivotButton="0" quotePrefix="0" xfId="0">
      <alignment horizontal="center"/>
    </xf>
    <xf numFmtId="167" fontId="15" fillId="0" borderId="1" applyAlignment="1" pivotButton="0" quotePrefix="0" xfId="0">
      <alignment horizontal="center"/>
    </xf>
    <xf numFmtId="167" fontId="22" fillId="0" borderId="1" pivotButton="0" quotePrefix="0" xfId="0"/>
    <xf numFmtId="165" fontId="15" fillId="0" borderId="1" applyAlignment="1" pivotButton="0" quotePrefix="0" xfId="0">
      <alignment horizontal="center"/>
    </xf>
    <xf numFmtId="0" fontId="16" fillId="0" borderId="1" pivotButton="0" quotePrefix="0" xfId="0"/>
    <xf numFmtId="0" fontId="23" fillId="0" borderId="1" pivotButton="0" quotePrefix="0" xfId="0"/>
    <xf numFmtId="3" fontId="24" fillId="0" borderId="1" applyAlignment="1" pivotButton="0" quotePrefix="0" xfId="0">
      <alignment horizontal="center"/>
    </xf>
    <xf numFmtId="165" fontId="24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25" fillId="0" borderId="1" applyAlignment="1" pivotButton="0" quotePrefix="0" xfId="0">
      <alignment vertical="bottom"/>
    </xf>
    <xf numFmtId="167" fontId="25" fillId="0" borderId="1" applyAlignment="1" pivotButton="0" quotePrefix="0" xfId="0">
      <alignment vertical="bottom"/>
    </xf>
    <xf numFmtId="3" fontId="23" fillId="0" borderId="1" pivotButton="0" quotePrefix="0" xfId="0"/>
    <xf numFmtId="0" fontId="25" fillId="11" borderId="1" applyAlignment="1" pivotButton="0" quotePrefix="0" xfId="0">
      <alignment vertical="bottom" wrapText="1"/>
    </xf>
    <xf numFmtId="167" fontId="25" fillId="11" borderId="1" applyAlignment="1" pivotButton="0" quotePrefix="0" xfId="0">
      <alignment vertical="bottom" wrapText="1"/>
    </xf>
    <xf numFmtId="165" fontId="25" fillId="11" borderId="1" applyAlignment="1" pivotButton="0" quotePrefix="0" xfId="0">
      <alignment horizontal="right" vertical="bottom" wrapText="1"/>
    </xf>
    <xf numFmtId="0" fontId="25" fillId="11" borderId="1" applyAlignment="1" pivotButton="0" quotePrefix="0" xfId="0">
      <alignment vertical="bottom"/>
    </xf>
    <xf numFmtId="0" fontId="25" fillId="12" borderId="2" applyAlignment="1" pivotButton="0" quotePrefix="0" xfId="0">
      <alignment horizontal="center"/>
    </xf>
    <xf numFmtId="167" fontId="18" fillId="12" borderId="1" applyAlignment="1" pivotButton="0" quotePrefix="0" xfId="0">
      <alignment horizontal="center" wrapText="1"/>
    </xf>
    <xf numFmtId="0" fontId="21" fillId="11" borderId="1" applyAlignment="1" pivotButton="0" quotePrefix="0" xfId="0">
      <alignment vertical="bottom" wrapText="1"/>
    </xf>
    <xf numFmtId="167" fontId="21" fillId="11" borderId="1" applyAlignment="1" pivotButton="0" quotePrefix="0" xfId="0">
      <alignment vertical="bottom" wrapText="1"/>
    </xf>
    <xf numFmtId="165" fontId="21" fillId="11" borderId="1" applyAlignment="1" pivotButton="0" quotePrefix="0" xfId="0">
      <alignment wrapText="1"/>
    </xf>
    <xf numFmtId="0" fontId="21" fillId="11" borderId="1" applyAlignment="1" pivotButton="0" quotePrefix="0" xfId="0">
      <alignment vertical="bottom"/>
    </xf>
    <xf numFmtId="167" fontId="18" fillId="0" borderId="1" applyAlignment="1" pivotButton="0" quotePrefix="0" xfId="0">
      <alignment horizontal="right" wrapText="1"/>
    </xf>
    <xf numFmtId="165" fontId="18" fillId="0" borderId="1" applyAlignment="1" pivotButton="0" quotePrefix="0" xfId="0">
      <alignment horizontal="right" vertical="bottom" wrapText="1"/>
    </xf>
    <xf numFmtId="167" fontId="18" fillId="0" borderId="1" applyAlignment="1" pivotButton="0" quotePrefix="0" xfId="0">
      <alignment horizontal="center" wrapText="1"/>
    </xf>
    <xf numFmtId="9" fontId="25" fillId="11" borderId="1" applyAlignment="1" pivotButton="0" quotePrefix="0" xfId="0">
      <alignment horizontal="right" vertical="bottom" wrapText="1"/>
    </xf>
    <xf numFmtId="0" fontId="26" fillId="5" borderId="0" pivotButton="0" quotePrefix="0" xfId="0"/>
    <xf numFmtId="164" fontId="4" fillId="5" borderId="0" pivotButton="0" quotePrefix="0" xfId="0"/>
    <xf numFmtId="0" fontId="27" fillId="0" borderId="0" pivotButton="0" quotePrefix="0" xfId="0"/>
    <xf numFmtId="164" fontId="27" fillId="13" borderId="0" pivotButton="0" quotePrefix="0" xfId="0"/>
    <xf numFmtId="0" fontId="26" fillId="0" borderId="0" pivotButton="0" quotePrefix="0" xfId="0"/>
    <xf numFmtId="0" fontId="28" fillId="0" borderId="0" pivotButton="0" quotePrefix="0" xfId="0"/>
    <xf numFmtId="164" fontId="28" fillId="13" borderId="0" pivotButton="0" quotePrefix="0" xfId="0"/>
    <xf numFmtId="165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3" customWidth="1" min="3" max="3"/>
    <col width="25" customWidth="1" min="4" max="4"/>
  </cols>
  <sheetData>
    <row r="1">
      <c r="A1" s="1" t="inlineStr">
        <is>
          <t>NEVO TOWER - EXECUTIVE SUMMARY</t>
        </is>
      </c>
    </row>
    <row r="2">
      <c r="A2" t="inlineStr">
        <is>
          <t>Generated: 2025-11-06 03:56</t>
        </is>
      </c>
    </row>
    <row r="4">
      <c r="A4" s="2" t="inlineStr">
        <is>
          <t>TOTAL DEVELOPMENT COST</t>
        </is>
      </c>
    </row>
    <row r="5">
      <c r="A5" t="inlineStr">
        <is>
          <t>SC Cash Payment (Project Cost)</t>
        </is>
      </c>
      <c r="B5" s="3">
        <f>LandPartner_Cash1+LandPartner_Cash2</f>
        <v/>
      </c>
      <c r="C5" s="4">
        <f>B5/TotalProjectCost</f>
        <v/>
      </c>
    </row>
    <row r="6">
      <c r="A6" t="inlineStr">
        <is>
          <t>Hard Costs</t>
        </is>
      </c>
      <c r="B6" s="3">
        <f>TotalHardCosts</f>
        <v/>
      </c>
      <c r="C6" s="4">
        <f>TotalHardCosts/TotalProjectCost</f>
        <v/>
      </c>
    </row>
    <row r="7">
      <c r="A7" t="inlineStr">
        <is>
          <t>Soft Costs</t>
        </is>
      </c>
      <c r="B7" s="3">
        <f>TotalSoftCosts</f>
        <v/>
      </c>
      <c r="C7" s="4">
        <f>TotalSoftCosts/TotalProjectCost</f>
        <v/>
      </c>
    </row>
    <row r="8">
      <c r="A8" s="5" t="inlineStr">
        <is>
          <t>TOTAL PROJECT COST</t>
        </is>
      </c>
      <c r="B8" s="6">
        <f>SUM(B5:B7)</f>
        <v/>
      </c>
      <c r="C8" t="inlineStr">
        <is>
          <t>100.0%</t>
        </is>
      </c>
    </row>
    <row r="10">
      <c r="A10" s="2" t="inlineStr">
        <is>
          <t>REVENUE</t>
        </is>
      </c>
    </row>
    <row r="11">
      <c r="A11" t="inlineStr">
        <is>
          <t>Total Revenue</t>
        </is>
      </c>
      <c r="B11" s="6">
        <f>TotalRevenue</f>
        <v/>
      </c>
    </row>
    <row r="13">
      <c r="A13" s="2" t="inlineStr">
        <is>
          <t>PROFITABILITY</t>
        </is>
      </c>
    </row>
    <row r="14">
      <c r="A14" t="inlineStr">
        <is>
          <t>Gross Profit</t>
        </is>
      </c>
      <c r="B14" s="7">
        <f>B11-B8</f>
        <v/>
      </c>
      <c r="C14" s="4">
        <f>(B11-B8)/B11</f>
        <v/>
      </c>
    </row>
    <row r="15">
      <c r="A15" t="inlineStr">
        <is>
          <t>Profit Margin</t>
        </is>
      </c>
      <c r="B15" s="8">
        <f>B14/B11</f>
        <v/>
      </c>
    </row>
    <row r="16">
      <c r="A16" t="inlineStr">
        <is>
          <t>Return on Cost (ROI)</t>
        </is>
      </c>
      <c r="B16" s="8">
        <f>B14/B8</f>
        <v/>
      </c>
    </row>
    <row r="18">
      <c r="A18" t="inlineStr">
        <is>
          <t>Cost per Unit (50 Condos)</t>
        </is>
      </c>
      <c r="B18" s="3">
        <f>(B8-Synagogue_Cost)/50</f>
        <v/>
      </c>
      <c r="D18" t="inlineStr">
        <is>
          <t>Excluding synagogue cost</t>
        </is>
      </c>
    </row>
    <row r="19">
      <c r="A19" t="inlineStr">
        <is>
          <t>Cost per NSF</t>
        </is>
      </c>
      <c r="B19" s="9">
        <f>B8/TotalNSF</f>
        <v/>
      </c>
    </row>
    <row r="20">
      <c r="A20" t="inlineStr">
        <is>
          <t>Revenue per NSF</t>
        </is>
      </c>
      <c r="B20" s="9">
        <f>B11/TotalNSF</f>
        <v/>
      </c>
    </row>
  </sheetData>
  <mergeCells count="5">
    <mergeCell ref="A1:D1"/>
    <mergeCell ref="A4:D4"/>
    <mergeCell ref="A2:D2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56" customWidth="1" min="3" max="3"/>
    <col width="49" customWidth="1" min="4" max="4"/>
  </cols>
  <sheetData>
    <row r="1">
      <c r="A1" s="10" t="inlineStr">
        <is>
          <t>NEVO TOWER - PROJECT ASSUMPTIONS</t>
        </is>
      </c>
    </row>
    <row r="3">
      <c r="A3" s="11" t="inlineStr">
        <is>
          <t>PROJECT INFORMATION</t>
        </is>
      </c>
    </row>
    <row r="5">
      <c r="A5" t="inlineStr">
        <is>
          <t>Total GSF</t>
        </is>
      </c>
      <c r="B5" s="12" t="n">
        <v>108675</v>
      </c>
      <c r="C5" s="4" t="n">
        <v>1</v>
      </c>
    </row>
    <row r="6">
      <c r="A6" t="inlineStr">
        <is>
          <t>Total NSF</t>
        </is>
      </c>
      <c r="B6" s="12" t="n">
        <v>86940</v>
      </c>
      <c r="C6" s="4">
        <f>86940/108675</f>
        <v/>
      </c>
    </row>
    <row r="7">
      <c r="A7" t="inlineStr">
        <is>
          <t>Residential Units</t>
        </is>
      </c>
      <c r="B7" t="n">
        <v>50</v>
      </c>
      <c r="C7" s="4" t="n">
        <v>1</v>
      </c>
    </row>
    <row r="9">
      <c r="A9" s="11" t="inlineStr">
        <is>
          <t>LAND PARTNER STRUCTURE</t>
        </is>
      </c>
    </row>
    <row r="11">
      <c r="A11" t="inlineStr">
        <is>
          <t>Land Partner - Land (In-Kind)</t>
        </is>
      </c>
      <c r="B11" s="13" t="n">
        <v>8000000</v>
      </c>
      <c r="C11" s="4">
        <f>B11/10000000</f>
        <v/>
      </c>
      <c r="D11" t="inlineStr">
        <is>
          <t>Land value $10M total - $2M paid cash</t>
        </is>
      </c>
    </row>
    <row r="12">
      <c r="A12" t="inlineStr">
        <is>
          <t>SC Key Money (Month 0)</t>
        </is>
      </c>
      <c r="B12" s="13" t="n">
        <v>1250000</v>
      </c>
      <c r="C12" s="4">
        <f>B12/2000000</f>
        <v/>
      </c>
      <c r="D12" t="inlineStr">
        <is>
          <t>Developer pays SC to enter deal</t>
        </is>
      </c>
    </row>
    <row r="13">
      <c r="A13" t="inlineStr">
        <is>
          <t>SC Payment (Month 6)</t>
        </is>
      </c>
      <c r="B13" s="13" t="n">
        <v>750000</v>
      </c>
      <c r="C13" s="4">
        <f>B13/2000000</f>
        <v/>
      </c>
      <c r="D13" t="inlineStr">
        <is>
          <t>Additional payment to SC</t>
        </is>
      </c>
    </row>
    <row r="14">
      <c r="A14" t="inlineStr">
        <is>
          <t>Land Partner - Deferred Payment</t>
        </is>
      </c>
      <c r="B14" s="13" t="n">
        <v>0</v>
      </c>
      <c r="C14" s="4" t="n">
        <v>0</v>
      </c>
      <c r="D14" t="inlineStr">
        <is>
          <t>$8M paid at exit (NOT a cost)</t>
        </is>
      </c>
    </row>
    <row r="16">
      <c r="A16" s="11" t="inlineStr">
        <is>
          <t>COST ASSUMPTIONS</t>
        </is>
      </c>
    </row>
    <row r="18">
      <c r="A18" t="inlineStr">
        <is>
          <t>GC Overhead &amp; Profit</t>
        </is>
      </c>
      <c r="B18" s="14" t="n">
        <v>0.1</v>
      </c>
      <c r="C18" t="inlineStr">
        <is>
          <t>%</t>
        </is>
      </c>
    </row>
    <row r="19">
      <c r="A19" t="inlineStr">
        <is>
          <t>General Conditions</t>
        </is>
      </c>
      <c r="B19" s="14" t="n">
        <v>0.09</v>
      </c>
      <c r="C19" t="inlineStr">
        <is>
          <t>%</t>
        </is>
      </c>
    </row>
    <row r="20">
      <c r="A20" t="inlineStr">
        <is>
          <t>Design Contingency</t>
        </is>
      </c>
      <c r="B20" s="14" t="n">
        <v>0.08</v>
      </c>
      <c r="C20" t="inlineStr">
        <is>
          <t>%</t>
        </is>
      </c>
    </row>
    <row r="21">
      <c r="A21" t="inlineStr">
        <is>
          <t>Construction Contingency</t>
        </is>
      </c>
      <c r="B21" s="14" t="n">
        <v>0.05</v>
      </c>
      <c r="C21" t="inlineStr">
        <is>
          <t>%</t>
        </is>
      </c>
    </row>
    <row r="22">
      <c r="A22" t="inlineStr">
        <is>
          <t>Owner Contingency</t>
        </is>
      </c>
      <c r="B22" s="14" t="n">
        <v>0.03</v>
      </c>
      <c r="C22" t="inlineStr">
        <is>
          <t>%</t>
        </is>
      </c>
    </row>
    <row r="23">
      <c r="A23" t="inlineStr">
        <is>
          <t>A&amp;E Fee Rate</t>
        </is>
      </c>
      <c r="B23" s="14" t="n">
        <v>0.038</v>
      </c>
      <c r="C23" t="inlineStr">
        <is>
          <t>%</t>
        </is>
      </c>
    </row>
    <row r="24">
      <c r="A24" t="inlineStr">
        <is>
          <t>Marketing Rate</t>
        </is>
      </c>
      <c r="B24" s="14" t="n">
        <v>0.02</v>
      </c>
      <c r="C24" t="inlineStr">
        <is>
          <t>%</t>
        </is>
      </c>
    </row>
    <row r="25">
      <c r="A25" t="inlineStr">
        <is>
          <t>Financing Rate</t>
        </is>
      </c>
      <c r="B25" s="14" t="n">
        <v>0.08500000000000001</v>
      </c>
      <c r="C25" t="inlineStr">
        <is>
          <t>%</t>
        </is>
      </c>
    </row>
    <row r="26">
      <c r="A26" t="inlineStr">
        <is>
          <t>Loan to Cost</t>
        </is>
      </c>
      <c r="B26" s="14" t="n">
        <v>0.75</v>
      </c>
      <c r="C26" t="inlineStr">
        <is>
          <t>%</t>
        </is>
      </c>
    </row>
    <row r="27">
      <c r="A27" t="inlineStr">
        <is>
          <t>Construction Duration</t>
        </is>
      </c>
      <c r="B27" s="15" t="n">
        <v>24</v>
      </c>
      <c r="C27" t="inlineStr">
        <is>
          <t>months</t>
        </is>
      </c>
    </row>
    <row r="28">
      <c r="A28" t="inlineStr">
        <is>
          <t>Bridge Loan Duration</t>
        </is>
      </c>
      <c r="B28" s="15" t="n">
        <v>9</v>
      </c>
      <c r="C28" t="inlineStr">
        <is>
          <t>months</t>
        </is>
      </c>
    </row>
    <row r="31">
      <c r="A31" s="11" t="inlineStr">
        <is>
          <t>PROJECT TOTALS</t>
        </is>
      </c>
    </row>
    <row r="33">
      <c r="A33" t="inlineStr">
        <is>
          <t>Total Hard Costs</t>
        </is>
      </c>
      <c r="B33" s="7">
        <f>TotalHardCosts</f>
        <v/>
      </c>
      <c r="C33" s="4">
        <f>TotalHardCosts/TotalProjectCost</f>
        <v/>
      </c>
      <c r="D33" t="inlineStr">
        <is>
          <t>From Hard Costs sheet</t>
        </is>
      </c>
    </row>
    <row r="34">
      <c r="A34" t="inlineStr">
        <is>
          <t>Total Soft Costs</t>
        </is>
      </c>
      <c r="B34" s="7">
        <f>TotalSoftCosts</f>
        <v/>
      </c>
      <c r="C34" s="4">
        <f>TotalSoftCosts/TotalProjectCost</f>
        <v/>
      </c>
      <c r="D34" t="inlineStr">
        <is>
          <t>From Soft Costs sheet</t>
        </is>
      </c>
    </row>
    <row r="35">
      <c r="A35" t="inlineStr">
        <is>
          <t>SC Cash Payments</t>
        </is>
      </c>
      <c r="B35" s="7">
        <f>LandPartner_Cash1+LandPartner_Cash2</f>
        <v/>
      </c>
      <c r="C35" s="4">
        <f>(LandPartner_Cash1+LandPartner_Cash2)/TotalProjectCost</f>
        <v/>
      </c>
      <c r="D35" t="inlineStr">
        <is>
          <t>Cash paid to land partner</t>
        </is>
      </c>
    </row>
    <row r="36">
      <c r="A36" t="inlineStr">
        <is>
          <t>TOTAL PROJECT COST</t>
        </is>
      </c>
      <c r="B36" s="6">
        <f>TotalProjectCost</f>
        <v/>
      </c>
      <c r="C36" s="4" t="inlineStr">
        <is>
          <t>100.0%</t>
        </is>
      </c>
      <c r="D36" t="inlineStr">
        <is>
          <t>From Summary sheet</t>
        </is>
      </c>
    </row>
    <row r="38">
      <c r="A38" t="inlineStr">
        <is>
          <t>Total Revenue</t>
        </is>
      </c>
      <c r="B38" s="16">
        <f>TotalRevenue</f>
        <v/>
      </c>
      <c r="D38" t="inlineStr">
        <is>
          <t>From Revenue sheet</t>
        </is>
      </c>
    </row>
    <row r="40">
      <c r="A40" t="inlineStr">
        <is>
          <t>Gross Profit</t>
        </is>
      </c>
      <c r="B40" s="6">
        <f>GrossProfit</f>
        <v/>
      </c>
      <c r="C40" s="4">
        <f>GrossProfit/TotalRevenue</f>
        <v/>
      </c>
      <c r="D40" t="inlineStr">
        <is>
          <t>From Summary sheet</t>
        </is>
      </c>
    </row>
    <row r="41">
      <c r="A41" t="inlineStr">
        <is>
          <t>ROI (Return on Cost)</t>
        </is>
      </c>
      <c r="B41" s="8">
        <f>GrossProfit/TotalProjectCost</f>
        <v/>
      </c>
      <c r="D41" t="inlineStr">
        <is>
          <t>Profit / Total Cost</t>
        </is>
      </c>
    </row>
    <row r="43">
      <c r="A43" s="11" t="inlineStr">
        <is>
          <t>SYNAGOGUE/MIKVAH (Unit #51)</t>
        </is>
      </c>
    </row>
    <row r="45">
      <c r="A45" t="inlineStr">
        <is>
          <t>Synagogue Revenue (at cost)</t>
        </is>
      </c>
      <c r="B45" s="7">
        <f>Synagogue_Cost</f>
        <v/>
      </c>
      <c r="D45" t="inlineStr">
        <is>
          <t>10,500 NSF @ $400/SF</t>
        </is>
      </c>
    </row>
    <row r="46">
      <c r="A46" t="inlineStr">
        <is>
          <t>Allocated Cost (part of Hard+Soft)</t>
        </is>
      </c>
      <c r="B46" s="7">
        <f>Synagogue_Cost</f>
        <v/>
      </c>
      <c r="D46" t="inlineStr">
        <is>
          <t>Paid by SC from windfall</t>
        </is>
      </c>
    </row>
    <row r="47">
      <c r="A47" t="inlineStr">
        <is>
          <t>Net Impact on Profit</t>
        </is>
      </c>
      <c r="B47" s="7" t="n">
        <v>0</v>
      </c>
      <c r="C47" s="4" t="inlineStr">
        <is>
          <t>0.0%</t>
        </is>
      </c>
      <c r="D47" t="inlineStr">
        <is>
          <t>Revenue = Cost (break-even)</t>
        </is>
      </c>
    </row>
    <row r="49">
      <c r="A49" t="inlineStr">
        <is>
          <t>Revenue-Generating Units</t>
        </is>
      </c>
      <c r="B49" s="17" t="n">
        <v>50</v>
      </c>
      <c r="D49" t="inlineStr">
        <is>
          <t>Excludes Synagogue/Mikvah</t>
        </is>
      </c>
    </row>
    <row r="50">
      <c r="A50" t="inlineStr">
        <is>
          <t>Cost per Revenue Unit</t>
        </is>
      </c>
      <c r="B50" s="7">
        <f>(TotalProjectCost-Synagogue_Cost)/50</f>
        <v/>
      </c>
      <c r="D50" t="inlineStr">
        <is>
          <t>From Summary sheet</t>
        </is>
      </c>
    </row>
    <row r="53">
      <c r="A53" s="11" t="inlineStr">
        <is>
          <t>NAMED RANGES - How Formulas Connect Sheets</t>
        </is>
      </c>
    </row>
    <row r="54">
      <c r="A54" s="17" t="inlineStr">
        <is>
          <t>Range Name</t>
        </is>
      </c>
      <c r="B54" s="17" t="inlineStr">
        <is>
          <t>Location</t>
        </is>
      </c>
      <c r="C54" s="17" t="inlineStr">
        <is>
          <t>Value</t>
        </is>
      </c>
      <c r="D54" s="17" t="inlineStr">
        <is>
          <t>Description</t>
        </is>
      </c>
    </row>
    <row r="55">
      <c r="A55" t="inlineStr">
        <is>
          <t>LandPartner_Land</t>
        </is>
      </c>
      <c r="B55" t="inlineStr">
        <is>
          <t>B11</t>
        </is>
      </c>
      <c r="C55">
        <f>B11</f>
        <v/>
      </c>
      <c r="D55" t="inlineStr">
        <is>
          <t>80% - SC land in-kind ($8M)</t>
        </is>
      </c>
    </row>
    <row r="56">
      <c r="A56" t="inlineStr">
        <is>
          <t>LandPartner_Cash1</t>
        </is>
      </c>
      <c r="B56" t="inlineStr">
        <is>
          <t>B12</t>
        </is>
      </c>
      <c r="C56">
        <f>B12</f>
        <v/>
      </c>
      <c r="D56" t="inlineStr">
        <is>
          <t>62.5% - SC cash Month 0 ($1.25M)</t>
        </is>
      </c>
    </row>
    <row r="57">
      <c r="A57" t="inlineStr">
        <is>
          <t>LandPartner_Cash2</t>
        </is>
      </c>
      <c r="B57" t="inlineStr">
        <is>
          <t>B13</t>
        </is>
      </c>
      <c r="C57">
        <f>B13</f>
        <v/>
      </c>
      <c r="D57" t="inlineStr">
        <is>
          <t>37.5% - SC cash Month 6 ($750K)</t>
        </is>
      </c>
    </row>
    <row r="58">
      <c r="A58" t="inlineStr">
        <is>
          <t>TotalHardCosts</t>
        </is>
      </c>
      <c r="B58" t="inlineStr">
        <is>
          <t>'Hard Costs'!E[row]</t>
        </is>
      </c>
      <c r="C58">
        <f>TotalHardCosts</f>
        <v/>
      </c>
      <c r="D58" t="inlineStr">
        <is>
          <t>~85% - All construction costs</t>
        </is>
      </c>
    </row>
    <row r="59">
      <c r="A59" t="inlineStr">
        <is>
          <t>TotalSoftCosts</t>
        </is>
      </c>
      <c r="B59" t="inlineStr">
        <is>
          <t>'Soft Costs'!B[row]</t>
        </is>
      </c>
      <c r="C59">
        <f>TotalSoftCosts</f>
        <v/>
      </c>
      <c r="D59" t="inlineStr">
        <is>
          <t>~12% - Design, permits, financing</t>
        </is>
      </c>
    </row>
    <row r="60">
      <c r="A60" t="inlineStr">
        <is>
          <t>TotalRevenue</t>
        </is>
      </c>
      <c r="B60" t="inlineStr">
        <is>
          <t>'Revenue'!F[row]</t>
        </is>
      </c>
      <c r="C60">
        <f>TotalRevenue</f>
        <v/>
      </c>
      <c r="D60" t="inlineStr">
        <is>
          <t>100% - Total project revenue</t>
        </is>
      </c>
    </row>
    <row r="61">
      <c r="A61" t="inlineStr">
        <is>
          <t>GC_OHP</t>
        </is>
      </c>
      <c r="B61" t="inlineStr">
        <is>
          <t>B18</t>
        </is>
      </c>
      <c r="C61">
        <f>GC_OHP</f>
        <v/>
      </c>
      <c r="D61" t="inlineStr">
        <is>
          <t>10% - GC overhead &amp; profit rate</t>
        </is>
      </c>
    </row>
    <row r="62">
      <c r="A62" t="inlineStr">
        <is>
          <t>AE_Rate</t>
        </is>
      </c>
      <c r="B62" t="inlineStr">
        <is>
          <t>B23</t>
        </is>
      </c>
      <c r="C62">
        <f>AE_Rate</f>
        <v/>
      </c>
      <c r="D62" t="inlineStr">
        <is>
          <t>3.8% - Architecture &amp; engineering fee</t>
        </is>
      </c>
    </row>
    <row r="63">
      <c r="A63" t="inlineStr">
        <is>
          <t>Marketing_Rate</t>
        </is>
      </c>
      <c r="B63" t="inlineStr">
        <is>
          <t>B24</t>
        </is>
      </c>
      <c r="C63">
        <f>Marketing_Rate</f>
        <v/>
      </c>
      <c r="D63" t="inlineStr">
        <is>
          <t>2.0% - Marketing &amp; sales rate</t>
        </is>
      </c>
    </row>
    <row r="64">
      <c r="A64" t="inlineStr">
        <is>
          <t>LTC</t>
        </is>
      </c>
      <c r="B64" t="inlineStr">
        <is>
          <t>B26</t>
        </is>
      </c>
      <c r="C64">
        <f>LTC</f>
        <v/>
      </c>
      <c r="D64" t="inlineStr">
        <is>
          <t>75% - Loan-to-cost ratio</t>
        </is>
      </c>
    </row>
    <row r="66">
      <c r="A66" s="17" t="inlineStr">
        <is>
          <t>HOW TO USE NAMED RANGES:</t>
        </is>
      </c>
      <c r="D66" t="inlineStr">
        <is>
          <t>Type = then the range name in any formula</t>
        </is>
      </c>
    </row>
    <row r="67">
      <c r="A67" t="inlineStr">
        <is>
          <t>Example:</t>
        </is>
      </c>
      <c r="D67">
        <f>TotalHardCosts*0.05 calculates 5% of hard costs</f>
        <v/>
      </c>
    </row>
  </sheetData>
  <mergeCells count="7">
    <mergeCell ref="A1:D1"/>
    <mergeCell ref="A9:D9"/>
    <mergeCell ref="A31:D31"/>
    <mergeCell ref="A53:D53"/>
    <mergeCell ref="A3:D3"/>
    <mergeCell ref="A43:D4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HARD COSTS - APC FILIGREE PRECAST SYSTEM</t>
        </is>
      </c>
    </row>
    <row r="2">
      <c r="A2" t="inlineStr">
        <is>
          <t>Aerial Precast Concrete Composite Deck System - Reduced Labor &amp; Time</t>
        </is>
      </c>
    </row>
    <row r="4">
      <c r="A4" s="18" t="inlineStr">
        <is>
          <t>CSI</t>
        </is>
      </c>
      <c r="B4" s="18" t="inlineStr">
        <is>
          <t>Description</t>
        </is>
      </c>
      <c r="C4" s="18" t="inlineStr">
        <is>
          <t>Rate ($/GSF)</t>
        </is>
      </c>
      <c r="D4" s="18" t="inlineStr">
        <is>
          <t>GSF</t>
        </is>
      </c>
      <c r="E4" s="18" t="inlineStr">
        <is>
          <t>Total Cost</t>
        </is>
      </c>
      <c r="F4" s="18" t="inlineStr">
        <is>
          <t>vs Traditional</t>
        </is>
      </c>
    </row>
    <row r="5">
      <c r="A5" t="inlineStr">
        <is>
          <t>01</t>
        </is>
      </c>
      <c r="B5" t="inlineStr">
        <is>
          <t>General Requirements</t>
        </is>
      </c>
      <c r="C5" s="19" t="n">
        <v>10.53</v>
      </c>
      <c r="D5" s="12" t="n">
        <v>108675</v>
      </c>
      <c r="E5" s="3">
        <f>C5*D5</f>
        <v/>
      </c>
      <c r="F5" t="inlineStr">
        <is>
          <t>Same</t>
        </is>
      </c>
    </row>
    <row r="6">
      <c r="A6" t="inlineStr">
        <is>
          <t>02</t>
        </is>
      </c>
      <c r="B6" t="inlineStr">
        <is>
          <t>Existing Conditions &amp; Site Work</t>
        </is>
      </c>
      <c r="C6" s="19" t="n">
        <v>4.56</v>
      </c>
      <c r="D6" s="12" t="n">
        <v>108675</v>
      </c>
      <c r="E6" s="3">
        <f>C6*D6</f>
        <v/>
      </c>
      <c r="F6" t="inlineStr">
        <is>
          <t>Same</t>
        </is>
      </c>
    </row>
    <row r="7">
      <c r="A7" t="inlineStr">
        <is>
          <t>03</t>
        </is>
      </c>
      <c r="B7" t="inlineStr">
        <is>
          <t>APC Filigree Precast System</t>
        </is>
      </c>
      <c r="C7" s="19" t="n">
        <v>31.58</v>
      </c>
      <c r="D7" s="12" t="n">
        <v>108675</v>
      </c>
      <c r="E7" s="3">
        <f>C7*D7</f>
        <v/>
      </c>
      <c r="F7" s="89" t="inlineStr">
        <is>
          <t>20% savings</t>
        </is>
      </c>
    </row>
    <row r="8">
      <c r="A8" t="inlineStr">
        <is>
          <t>04</t>
        </is>
      </c>
      <c r="B8" t="inlineStr">
        <is>
          <t>Masonry</t>
        </is>
      </c>
      <c r="C8" s="19" t="n">
        <v>2.46</v>
      </c>
      <c r="D8" s="12" t="n">
        <v>108675</v>
      </c>
      <c r="E8" s="3">
        <f>C8*D8</f>
        <v/>
      </c>
      <c r="F8" t="inlineStr">
        <is>
          <t>Same</t>
        </is>
      </c>
    </row>
    <row r="9">
      <c r="A9" t="inlineStr">
        <is>
          <t>05</t>
        </is>
      </c>
      <c r="B9" t="inlineStr">
        <is>
          <t>Structural Steel (integrated)</t>
        </is>
      </c>
      <c r="C9" s="19" t="n">
        <v>5.96</v>
      </c>
      <c r="D9" s="12" t="n">
        <v>108675</v>
      </c>
      <c r="E9" s="3">
        <f>C9*D9</f>
        <v/>
      </c>
      <c r="F9" s="89" t="inlineStr">
        <is>
          <t>20% savings</t>
        </is>
      </c>
    </row>
    <row r="10">
      <c r="A10" t="inlineStr">
        <is>
          <t>06</t>
        </is>
      </c>
      <c r="B10" t="inlineStr">
        <is>
          <t>Wood &amp; Plastics</t>
        </is>
      </c>
      <c r="C10" s="19" t="n">
        <v>2.81</v>
      </c>
      <c r="D10" s="12" t="n">
        <v>108675</v>
      </c>
      <c r="E10" s="3">
        <f>C10*D10</f>
        <v/>
      </c>
      <c r="F10" t="inlineStr">
        <is>
          <t>Same</t>
        </is>
      </c>
    </row>
    <row r="11">
      <c r="A11" t="inlineStr">
        <is>
          <t>07</t>
        </is>
      </c>
      <c r="B11" t="inlineStr">
        <is>
          <t>Thermal &amp; Moisture Protection</t>
        </is>
      </c>
      <c r="C11" s="19" t="n">
        <v>19.3</v>
      </c>
      <c r="D11" s="12" t="n">
        <v>108675</v>
      </c>
      <c r="E11" s="3">
        <f>C11*D11</f>
        <v/>
      </c>
      <c r="F11" t="inlineStr">
        <is>
          <t>Same</t>
        </is>
      </c>
    </row>
    <row r="12">
      <c r="A12" t="inlineStr">
        <is>
          <t>08</t>
        </is>
      </c>
      <c r="B12" t="inlineStr">
        <is>
          <t>Openings (Doors, Windows, HVHZ)</t>
        </is>
      </c>
      <c r="C12" s="19" t="n">
        <v>24.55</v>
      </c>
      <c r="D12" s="12" t="n">
        <v>108675</v>
      </c>
      <c r="E12" s="3">
        <f>C12*D12</f>
        <v/>
      </c>
      <c r="F12" t="inlineStr">
        <is>
          <t>Same</t>
        </is>
      </c>
    </row>
    <row r="13">
      <c r="A13" t="inlineStr">
        <is>
          <t>09</t>
        </is>
      </c>
      <c r="B13" t="inlineStr">
        <is>
          <t>Finishes</t>
        </is>
      </c>
      <c r="C13" s="19" t="n">
        <v>36.83</v>
      </c>
      <c r="D13" s="12" t="n">
        <v>108675</v>
      </c>
      <c r="E13" s="3">
        <f>C13*D13</f>
        <v/>
      </c>
      <c r="F13" t="inlineStr">
        <is>
          <t>Same</t>
        </is>
      </c>
    </row>
    <row r="14">
      <c r="A14" t="inlineStr">
        <is>
          <t>10</t>
        </is>
      </c>
      <c r="B14" t="inlineStr">
        <is>
          <t>Specialties</t>
        </is>
      </c>
      <c r="C14" s="19" t="n">
        <v>3.95</v>
      </c>
      <c r="D14" s="12" t="n">
        <v>108675</v>
      </c>
      <c r="E14" s="3">
        <f>C14*D14</f>
        <v/>
      </c>
      <c r="F14" t="inlineStr">
        <is>
          <t>Same</t>
        </is>
      </c>
    </row>
    <row r="15">
      <c r="A15" t="inlineStr">
        <is>
          <t>11</t>
        </is>
      </c>
      <c r="B15" t="inlineStr">
        <is>
          <t>Equipment</t>
        </is>
      </c>
      <c r="C15" s="19" t="n">
        <v>3.33</v>
      </c>
      <c r="D15" s="12" t="n">
        <v>108675</v>
      </c>
      <c r="E15" s="3">
        <f>C15*D15</f>
        <v/>
      </c>
      <c r="F15" t="inlineStr">
        <is>
          <t>Same</t>
        </is>
      </c>
    </row>
    <row r="16">
      <c r="A16" t="inlineStr">
        <is>
          <t>12</t>
        </is>
      </c>
      <c r="B16" t="inlineStr">
        <is>
          <t>Furnishings</t>
        </is>
      </c>
      <c r="C16" s="19" t="n">
        <v>1.05</v>
      </c>
      <c r="D16" s="12" t="n">
        <v>108675</v>
      </c>
      <c r="E16" s="3">
        <f>C16*D16</f>
        <v/>
      </c>
      <c r="F16" t="inlineStr">
        <is>
          <t>Same</t>
        </is>
      </c>
    </row>
    <row r="17">
      <c r="A17" t="inlineStr">
        <is>
          <t>13</t>
        </is>
      </c>
      <c r="B17" t="inlineStr">
        <is>
          <t>Special Construction</t>
        </is>
      </c>
      <c r="C17" s="19" t="n">
        <v>1.58</v>
      </c>
      <c r="D17" s="12" t="n">
        <v>108675</v>
      </c>
      <c r="E17" s="3">
        <f>C17*D17</f>
        <v/>
      </c>
      <c r="F17" t="inlineStr">
        <is>
          <t>Same</t>
        </is>
      </c>
    </row>
    <row r="18">
      <c r="A18" t="inlineStr">
        <is>
          <t>14</t>
        </is>
      </c>
      <c r="B18" t="inlineStr">
        <is>
          <t>Conveying Equipment</t>
        </is>
      </c>
      <c r="C18" s="19" t="n">
        <v>2.72</v>
      </c>
      <c r="D18" s="12" t="n">
        <v>108675</v>
      </c>
      <c r="E18" s="3">
        <f>C18*D18</f>
        <v/>
      </c>
      <c r="F18" t="inlineStr">
        <is>
          <t>Same</t>
        </is>
      </c>
    </row>
    <row r="19">
      <c r="A19" t="inlineStr">
        <is>
          <t>21</t>
        </is>
      </c>
      <c r="B19" t="inlineStr">
        <is>
          <t>Fire Suppression</t>
        </is>
      </c>
      <c r="C19" s="19" t="n">
        <v>6.58</v>
      </c>
      <c r="D19" s="12" t="n">
        <v>108675</v>
      </c>
      <c r="E19" s="3">
        <f>C19*D19</f>
        <v/>
      </c>
      <c r="F19" t="inlineStr">
        <is>
          <t>Same</t>
        </is>
      </c>
    </row>
    <row r="20">
      <c r="A20" t="inlineStr">
        <is>
          <t>22</t>
        </is>
      </c>
      <c r="B20" t="inlineStr">
        <is>
          <t>Plumbing</t>
        </is>
      </c>
      <c r="C20" s="19" t="n">
        <v>7.89</v>
      </c>
      <c r="D20" s="12" t="n">
        <v>108675</v>
      </c>
      <c r="E20" s="3">
        <f>C20*D20</f>
        <v/>
      </c>
      <c r="F20" s="89" t="inlineStr">
        <is>
          <t>10% savings - embedded in slab</t>
        </is>
      </c>
    </row>
    <row r="21">
      <c r="A21" t="inlineStr">
        <is>
          <t>23</t>
        </is>
      </c>
      <c r="B21" t="inlineStr">
        <is>
          <t>HVAC</t>
        </is>
      </c>
      <c r="C21" s="19" t="n">
        <v>13.15</v>
      </c>
      <c r="D21" s="12" t="n">
        <v>108675</v>
      </c>
      <c r="E21" s="3">
        <f>C21*D21</f>
        <v/>
      </c>
      <c r="F21" t="inlineStr">
        <is>
          <t>Same</t>
        </is>
      </c>
    </row>
    <row r="22">
      <c r="A22" t="inlineStr">
        <is>
          <t>26</t>
        </is>
      </c>
      <c r="B22" t="inlineStr">
        <is>
          <t>Electrical</t>
        </is>
      </c>
      <c r="C22" s="19" t="n">
        <v>11.84</v>
      </c>
      <c r="D22" s="12" t="n">
        <v>108675</v>
      </c>
      <c r="E22" s="3">
        <f>C22*D22</f>
        <v/>
      </c>
      <c r="F22" s="89" t="inlineStr">
        <is>
          <t>10% savings - conduits in slab</t>
        </is>
      </c>
    </row>
    <row r="23">
      <c r="A23" t="inlineStr">
        <is>
          <t>27</t>
        </is>
      </c>
      <c r="B23" t="inlineStr">
        <is>
          <t>Communications</t>
        </is>
      </c>
      <c r="C23" s="19" t="n">
        <v>1.75</v>
      </c>
      <c r="D23" s="12" t="n">
        <v>108675</v>
      </c>
      <c r="E23" s="3">
        <f>C23*D23</f>
        <v/>
      </c>
      <c r="F23" t="inlineStr">
        <is>
          <t>Same</t>
        </is>
      </c>
    </row>
    <row r="24">
      <c r="A24" t="inlineStr">
        <is>
          <t>28</t>
        </is>
      </c>
      <c r="B24" t="inlineStr">
        <is>
          <t>Electronic Safety &amp; Security</t>
        </is>
      </c>
      <c r="C24" s="19" t="n">
        <v>1.75</v>
      </c>
      <c r="D24" s="12" t="n">
        <v>108675</v>
      </c>
      <c r="E24" s="3">
        <f>C24*D24</f>
        <v/>
      </c>
      <c r="F24" t="inlineStr">
        <is>
          <t>Same</t>
        </is>
      </c>
    </row>
    <row r="25">
      <c r="A25" t="inlineStr">
        <is>
          <t>31</t>
        </is>
      </c>
      <c r="B25" t="inlineStr">
        <is>
          <t>Earthwork</t>
        </is>
      </c>
      <c r="C25" s="19" t="n">
        <v>3.68</v>
      </c>
      <c r="D25" s="12" t="n">
        <v>108675</v>
      </c>
      <c r="E25" s="3">
        <f>C25*D25</f>
        <v/>
      </c>
      <c r="F25" t="inlineStr">
        <is>
          <t>Same</t>
        </is>
      </c>
    </row>
    <row r="26">
      <c r="A26" t="inlineStr">
        <is>
          <t>32</t>
        </is>
      </c>
      <c r="B26" t="inlineStr">
        <is>
          <t>Exterior Improvements</t>
        </is>
      </c>
      <c r="C26" s="19" t="n">
        <v>3.51</v>
      </c>
      <c r="D26" s="12" t="n">
        <v>108675</v>
      </c>
      <c r="E26" s="3">
        <f>C26*D26</f>
        <v/>
      </c>
      <c r="F26" t="inlineStr">
        <is>
          <t>Same</t>
        </is>
      </c>
    </row>
    <row r="27">
      <c r="A27" t="inlineStr">
        <is>
          <t>33</t>
        </is>
      </c>
      <c r="B27" t="inlineStr">
        <is>
          <t>Utilities</t>
        </is>
      </c>
      <c r="C27" s="19" t="n">
        <v>2.81</v>
      </c>
      <c r="D27" s="12" t="n">
        <v>108675</v>
      </c>
      <c r="E27" s="3">
        <f>C27*D27</f>
        <v/>
      </c>
      <c r="F27" t="inlineStr">
        <is>
          <t>Same</t>
        </is>
      </c>
    </row>
    <row r="28">
      <c r="B28" s="17" t="inlineStr">
        <is>
          <t>SUBTOTAL - Construction</t>
        </is>
      </c>
      <c r="E28" s="20">
        <f>SUM(E5:E27)</f>
        <v/>
      </c>
    </row>
    <row r="30">
      <c r="B30" t="inlineStr">
        <is>
          <t>Traditional PT System Cost</t>
        </is>
      </c>
      <c r="E30" s="3" t="n">
        <v>23445544.5</v>
      </c>
      <c r="F30" t="inlineStr">
        <is>
          <t>For reference</t>
        </is>
      </c>
    </row>
    <row r="31">
      <c r="B31" t="inlineStr">
        <is>
          <t>APC Filigree System Cost</t>
        </is>
      </c>
      <c r="E31" s="90">
        <f>E28</f>
        <v/>
      </c>
    </row>
    <row r="32">
      <c r="B32" s="91" t="inlineStr">
        <is>
          <t>SAVINGS</t>
        </is>
      </c>
      <c r="E32" s="92">
        <f>E30-E31</f>
        <v/>
      </c>
      <c r="F32" s="93" t="inlineStr">
        <is>
          <t>5.4% reduction</t>
        </is>
      </c>
    </row>
    <row r="34">
      <c r="B34" t="inlineStr">
        <is>
          <t>General Conditions</t>
        </is>
      </c>
      <c r="C34" s="4">
        <f>GC_GC</f>
        <v/>
      </c>
      <c r="E34" s="3">
        <f>E28*GC_GC</f>
        <v/>
      </c>
    </row>
    <row r="35">
      <c r="B35" t="inlineStr">
        <is>
          <t>Overhead &amp; Profit</t>
        </is>
      </c>
      <c r="C35" s="4">
        <f>GC_OHP</f>
        <v/>
      </c>
      <c r="E35" s="3">
        <f>(E28+E34)*GC_OHP</f>
        <v/>
      </c>
    </row>
    <row r="37">
      <c r="B37" s="17" t="inlineStr">
        <is>
          <t>Subtotal before Contingency</t>
        </is>
      </c>
      <c r="E37" s="20">
        <f>E28+E34+E35</f>
        <v/>
      </c>
    </row>
    <row r="39">
      <c r="B39" t="inlineStr">
        <is>
          <t>Design Contingency</t>
        </is>
      </c>
      <c r="C39" s="4">
        <f>Design_Cont</f>
        <v/>
      </c>
      <c r="E39" s="3">
        <f>E37*Design_Cont</f>
        <v/>
      </c>
    </row>
    <row r="40">
      <c r="B40" t="inlineStr">
        <is>
          <t>Construction Contingency</t>
        </is>
      </c>
      <c r="C40" s="4">
        <f>Constr_Cont</f>
        <v/>
      </c>
      <c r="E40" s="3">
        <f>E37*Constr_Cont</f>
        <v/>
      </c>
    </row>
    <row r="41">
      <c r="B41" t="inlineStr">
        <is>
          <t>Owner Contingency</t>
        </is>
      </c>
      <c r="C41" s="4">
        <f>Owner_Cont</f>
        <v/>
      </c>
      <c r="E41" s="3">
        <f>E37*Owner_Cont</f>
        <v/>
      </c>
    </row>
    <row r="43">
      <c r="B43" s="5" t="inlineStr">
        <is>
          <t>TOTAL HARD COSTS (APC Filigree)</t>
        </is>
      </c>
      <c r="E43" s="6">
        <f>E37+E39+E40+E41</f>
        <v/>
      </c>
    </row>
    <row r="44">
      <c r="B44" s="17" t="inlineStr">
        <is>
          <t>Cost per GSF</t>
        </is>
      </c>
      <c r="E44" s="21">
        <f>E43/108675</f>
        <v/>
      </c>
    </row>
    <row r="46">
      <c r="B46" t="inlineStr">
        <is>
          <t>Traditional System Total</t>
        </is>
      </c>
      <c r="E46" s="3">
        <f>TotalHardCosts</f>
        <v/>
      </c>
    </row>
    <row r="47">
      <c r="B47" t="inlineStr">
        <is>
          <t>APC Filigree Total</t>
        </is>
      </c>
      <c r="E47" s="37">
        <f>E43</f>
        <v/>
      </c>
    </row>
    <row r="48">
      <c r="B48" s="94" t="inlineStr">
        <is>
          <t>TOTAL PROJECT SAVINGS</t>
        </is>
      </c>
      <c r="E48" s="95">
        <f>E46-E47</f>
        <v/>
      </c>
      <c r="F48" s="96">
        <f>(E46-E47)/E46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3" customWidth="1" min="3" max="3"/>
    <col width="10" customWidth="1" min="4" max="4"/>
    <col width="18" customWidth="1" min="5" max="5"/>
  </cols>
  <sheetData>
    <row r="1">
      <c r="A1" s="10" t="inlineStr">
        <is>
          <t>HARD COSTS - CSI MASTERFORMAT DIVISIONS</t>
        </is>
      </c>
    </row>
    <row r="3">
      <c r="A3" s="18" t="inlineStr">
        <is>
          <t>CSI</t>
        </is>
      </c>
      <c r="B3" s="18" t="inlineStr">
        <is>
          <t>Description</t>
        </is>
      </c>
      <c r="C3" s="18" t="inlineStr">
        <is>
          <t>Rate ($/GSF)</t>
        </is>
      </c>
      <c r="D3" s="18" t="inlineStr">
        <is>
          <t>GSF</t>
        </is>
      </c>
      <c r="E3" s="18" t="inlineStr">
        <is>
          <t>Total Cost</t>
        </is>
      </c>
    </row>
    <row r="4">
      <c r="A4" t="inlineStr">
        <is>
          <t>01</t>
        </is>
      </c>
      <c r="B4" t="inlineStr">
        <is>
          <t>General Requirements</t>
        </is>
      </c>
      <c r="C4" s="19" t="n">
        <v>10.53</v>
      </c>
      <c r="D4" s="12">
        <f>TotalGSF</f>
        <v/>
      </c>
      <c r="E4" s="3">
        <f>C4*D4</f>
        <v/>
      </c>
    </row>
    <row r="5">
      <c r="A5" t="inlineStr">
        <is>
          <t>02</t>
        </is>
      </c>
      <c r="B5" t="inlineStr">
        <is>
          <t>Existing Conditions &amp; Site Work</t>
        </is>
      </c>
      <c r="C5" s="19" t="n">
        <v>4.56</v>
      </c>
      <c r="D5" s="12">
        <f>TotalGSF</f>
        <v/>
      </c>
      <c r="E5" s="3">
        <f>C5*D5</f>
        <v/>
      </c>
    </row>
    <row r="6">
      <c r="A6" t="inlineStr">
        <is>
          <t>03</t>
        </is>
      </c>
      <c r="B6" t="inlineStr">
        <is>
          <t>Concrete - Pour-in-Place PT</t>
        </is>
      </c>
      <c r="C6" s="19" t="n">
        <v>39.47</v>
      </c>
      <c r="D6" s="12">
        <f>TotalGSF</f>
        <v/>
      </c>
      <c r="E6" s="3">
        <f>C6*D6</f>
        <v/>
      </c>
    </row>
    <row r="7">
      <c r="A7" t="inlineStr">
        <is>
          <t>04</t>
        </is>
      </c>
      <c r="B7" t="inlineStr">
        <is>
          <t>Masonry</t>
        </is>
      </c>
      <c r="C7" s="19" t="n">
        <v>2.46</v>
      </c>
      <c r="D7" s="12">
        <f>TotalGSF</f>
        <v/>
      </c>
      <c r="E7" s="3">
        <f>C7*D7</f>
        <v/>
      </c>
    </row>
    <row r="8">
      <c r="A8" t="inlineStr">
        <is>
          <t>05</t>
        </is>
      </c>
      <c r="B8" t="inlineStr">
        <is>
          <t>Metals</t>
        </is>
      </c>
      <c r="C8" s="19" t="n">
        <v>7.45</v>
      </c>
      <c r="D8" s="12">
        <f>TotalGSF</f>
        <v/>
      </c>
      <c r="E8" s="3">
        <f>C8*D8</f>
        <v/>
      </c>
    </row>
    <row r="9">
      <c r="A9" t="inlineStr">
        <is>
          <t>06</t>
        </is>
      </c>
      <c r="B9" t="inlineStr">
        <is>
          <t>Wood &amp; Plastics</t>
        </is>
      </c>
      <c r="C9" s="19" t="n">
        <v>2.81</v>
      </c>
      <c r="D9" s="12">
        <f>TotalGSF</f>
        <v/>
      </c>
      <c r="E9" s="3">
        <f>C9*D9</f>
        <v/>
      </c>
    </row>
    <row r="10">
      <c r="A10" t="inlineStr">
        <is>
          <t>07</t>
        </is>
      </c>
      <c r="B10" t="inlineStr">
        <is>
          <t>Thermal &amp; Moisture Protection</t>
        </is>
      </c>
      <c r="C10" s="19" t="n">
        <v>19.3</v>
      </c>
      <c r="D10" s="12">
        <f>TotalGSF</f>
        <v/>
      </c>
      <c r="E10" s="3">
        <f>C10*D10</f>
        <v/>
      </c>
    </row>
    <row r="11">
      <c r="A11" t="inlineStr">
        <is>
          <t>08</t>
        </is>
      </c>
      <c r="B11" t="inlineStr">
        <is>
          <t>Openings (Doors, Windows, HVHZ)</t>
        </is>
      </c>
      <c r="C11" s="19" t="n">
        <v>24.55</v>
      </c>
      <c r="D11" s="12">
        <f>TotalGSF</f>
        <v/>
      </c>
      <c r="E11" s="3">
        <f>C11*D11</f>
        <v/>
      </c>
    </row>
    <row r="12">
      <c r="A12" t="inlineStr">
        <is>
          <t>09</t>
        </is>
      </c>
      <c r="B12" t="inlineStr">
        <is>
          <t>Finishes</t>
        </is>
      </c>
      <c r="C12" s="19" t="n">
        <v>36.83</v>
      </c>
      <c r="D12" s="12">
        <f>TotalGSF</f>
        <v/>
      </c>
      <c r="E12" s="3">
        <f>C12*D12</f>
        <v/>
      </c>
    </row>
    <row r="13">
      <c r="A13" t="inlineStr">
        <is>
          <t>10</t>
        </is>
      </c>
      <c r="B13" t="inlineStr">
        <is>
          <t>Specialties</t>
        </is>
      </c>
      <c r="C13" s="19" t="n">
        <v>3.95</v>
      </c>
      <c r="D13" s="12">
        <f>TotalGSF</f>
        <v/>
      </c>
      <c r="E13" s="3">
        <f>C13*D13</f>
        <v/>
      </c>
    </row>
    <row r="14">
      <c r="A14" t="inlineStr">
        <is>
          <t>11</t>
        </is>
      </c>
      <c r="B14" t="inlineStr">
        <is>
          <t>Equipment</t>
        </is>
      </c>
      <c r="C14" s="19" t="n">
        <v>3.33</v>
      </c>
      <c r="D14" s="12">
        <f>TotalGSF</f>
        <v/>
      </c>
      <c r="E14" s="3">
        <f>C14*D14</f>
        <v/>
      </c>
    </row>
    <row r="15">
      <c r="A15" t="inlineStr">
        <is>
          <t>12</t>
        </is>
      </c>
      <c r="B15" t="inlineStr">
        <is>
          <t>Furnishings</t>
        </is>
      </c>
      <c r="C15" s="19" t="n">
        <v>1.05</v>
      </c>
      <c r="D15" s="12">
        <f>TotalGSF</f>
        <v/>
      </c>
      <c r="E15" s="3">
        <f>C15*D15</f>
        <v/>
      </c>
    </row>
    <row r="16">
      <c r="A16" t="inlineStr">
        <is>
          <t>13</t>
        </is>
      </c>
      <c r="B16" t="inlineStr">
        <is>
          <t>Special Construction</t>
        </is>
      </c>
      <c r="C16" s="19" t="n">
        <v>1.58</v>
      </c>
      <c r="D16" s="12">
        <f>TotalGSF</f>
        <v/>
      </c>
      <c r="E16" s="3">
        <f>C16*D16</f>
        <v/>
      </c>
    </row>
    <row r="17">
      <c r="A17" t="inlineStr">
        <is>
          <t>14</t>
        </is>
      </c>
      <c r="B17" t="inlineStr">
        <is>
          <t>Conveying Equipment</t>
        </is>
      </c>
      <c r="C17" s="19" t="n">
        <v>2.72</v>
      </c>
      <c r="D17" s="12">
        <f>TotalGSF</f>
        <v/>
      </c>
      <c r="E17" s="3">
        <f>C17*D17</f>
        <v/>
      </c>
    </row>
    <row r="18">
      <c r="A18" t="inlineStr">
        <is>
          <t>21</t>
        </is>
      </c>
      <c r="B18" t="inlineStr">
        <is>
          <t>Fire Suppression</t>
        </is>
      </c>
      <c r="C18" s="19" t="n">
        <v>6.58</v>
      </c>
      <c r="D18" s="12">
        <f>TotalGSF</f>
        <v/>
      </c>
      <c r="E18" s="3">
        <f>C18*D18</f>
        <v/>
      </c>
    </row>
    <row r="19">
      <c r="A19" t="inlineStr">
        <is>
          <t>22</t>
        </is>
      </c>
      <c r="B19" t="inlineStr">
        <is>
          <t>Plumbing</t>
        </is>
      </c>
      <c r="C19" s="19" t="n">
        <v>8.77</v>
      </c>
      <c r="D19" s="12">
        <f>TotalGSF</f>
        <v/>
      </c>
      <c r="E19" s="3">
        <f>C19*D19</f>
        <v/>
      </c>
    </row>
    <row r="20">
      <c r="A20" t="inlineStr">
        <is>
          <t>23</t>
        </is>
      </c>
      <c r="B20" t="inlineStr">
        <is>
          <t>HVAC</t>
        </is>
      </c>
      <c r="C20" s="19" t="n">
        <v>13.15</v>
      </c>
      <c r="D20" s="12">
        <f>TotalGSF</f>
        <v/>
      </c>
      <c r="E20" s="3">
        <f>C20*D20</f>
        <v/>
      </c>
    </row>
    <row r="21">
      <c r="A21" t="inlineStr">
        <is>
          <t>26</t>
        </is>
      </c>
      <c r="B21" t="inlineStr">
        <is>
          <t>Electrical</t>
        </is>
      </c>
      <c r="C21" s="19" t="n">
        <v>13.15</v>
      </c>
      <c r="D21" s="12">
        <f>TotalGSF</f>
        <v/>
      </c>
      <c r="E21" s="3">
        <f>C21*D21</f>
        <v/>
      </c>
    </row>
    <row r="22">
      <c r="A22" t="inlineStr">
        <is>
          <t>27</t>
        </is>
      </c>
      <c r="B22" t="inlineStr">
        <is>
          <t>Communications</t>
        </is>
      </c>
      <c r="C22" s="19" t="n">
        <v>1.75</v>
      </c>
      <c r="D22" s="12">
        <f>TotalGSF</f>
        <v/>
      </c>
      <c r="E22" s="3">
        <f>C22*D22</f>
        <v/>
      </c>
    </row>
    <row r="23">
      <c r="A23" t="inlineStr">
        <is>
          <t>28</t>
        </is>
      </c>
      <c r="B23" t="inlineStr">
        <is>
          <t>Electronic Safety &amp; Security</t>
        </is>
      </c>
      <c r="C23" s="19" t="n">
        <v>1.75</v>
      </c>
      <c r="D23" s="12">
        <f>TotalGSF</f>
        <v/>
      </c>
      <c r="E23" s="3">
        <f>C23*D23</f>
        <v/>
      </c>
    </row>
    <row r="24">
      <c r="A24" t="inlineStr">
        <is>
          <t>31</t>
        </is>
      </c>
      <c r="B24" t="inlineStr">
        <is>
          <t>Earthwork</t>
        </is>
      </c>
      <c r="C24" s="19" t="n">
        <v>3.68</v>
      </c>
      <c r="D24" s="12">
        <f>TotalGSF</f>
        <v/>
      </c>
      <c r="E24" s="3">
        <f>C24*D24</f>
        <v/>
      </c>
    </row>
    <row r="25">
      <c r="A25" t="inlineStr">
        <is>
          <t>32</t>
        </is>
      </c>
      <c r="B25" t="inlineStr">
        <is>
          <t>Exterior Improvements</t>
        </is>
      </c>
      <c r="C25" s="19" t="n">
        <v>3.51</v>
      </c>
      <c r="D25" s="12">
        <f>TotalGSF</f>
        <v/>
      </c>
      <c r="E25" s="3">
        <f>C25*D25</f>
        <v/>
      </c>
    </row>
    <row r="26">
      <c r="A26" t="inlineStr">
        <is>
          <t>33</t>
        </is>
      </c>
      <c r="B26" t="inlineStr">
        <is>
          <t>Utilities</t>
        </is>
      </c>
      <c r="C26" s="19" t="n">
        <v>2.81</v>
      </c>
      <c r="D26" s="12">
        <f>TotalGSF</f>
        <v/>
      </c>
      <c r="E26" s="3">
        <f>C26*D26</f>
        <v/>
      </c>
    </row>
    <row r="27">
      <c r="B27" s="17" t="inlineStr">
        <is>
          <t>SUBTOTAL - Construction</t>
        </is>
      </c>
      <c r="E27" s="20">
        <f>SUM(E4:E26)</f>
        <v/>
      </c>
    </row>
    <row r="29">
      <c r="B29" t="inlineStr">
        <is>
          <t>General Conditions</t>
        </is>
      </c>
      <c r="C29" s="4">
        <f>GC_GC</f>
        <v/>
      </c>
      <c r="E29" s="3">
        <f>E27*GC_GC</f>
        <v/>
      </c>
    </row>
    <row r="30">
      <c r="B30" t="inlineStr">
        <is>
          <t>Overhead &amp; Profit</t>
        </is>
      </c>
      <c r="C30" s="4">
        <f>GC_OHP</f>
        <v/>
      </c>
      <c r="E30" s="3">
        <f>(E27+E29)*GC_OHP</f>
        <v/>
      </c>
    </row>
    <row r="32">
      <c r="B32" s="17" t="inlineStr">
        <is>
          <t>Subtotal before Contingency</t>
        </is>
      </c>
      <c r="E32" s="20">
        <f>E27+E29+E30</f>
        <v/>
      </c>
    </row>
    <row r="34">
      <c r="B34" t="inlineStr">
        <is>
          <t>Design Contingency</t>
        </is>
      </c>
      <c r="C34" s="4">
        <f>Design_Cont</f>
        <v/>
      </c>
      <c r="E34" s="3">
        <f>E32*Design_Cont</f>
        <v/>
      </c>
    </row>
    <row r="35">
      <c r="B35" t="inlineStr">
        <is>
          <t>Construction Contingency</t>
        </is>
      </c>
      <c r="C35" s="4">
        <f>Constr_Cont</f>
        <v/>
      </c>
      <c r="E35" s="3">
        <f>E32*Constr_Cont</f>
        <v/>
      </c>
    </row>
    <row r="36">
      <c r="B36" t="inlineStr">
        <is>
          <t>Owner Contingency</t>
        </is>
      </c>
      <c r="C36" s="4">
        <f>Owner_Cont</f>
        <v/>
      </c>
      <c r="E36" s="3">
        <f>E32*Owner_Cont</f>
        <v/>
      </c>
    </row>
    <row r="38">
      <c r="B38" s="5" t="inlineStr">
        <is>
          <t>TOTAL HARD COSTS</t>
        </is>
      </c>
      <c r="E38" s="6">
        <f>E32+E34+E35+E36</f>
        <v/>
      </c>
    </row>
    <row r="39">
      <c r="B39" s="17" t="inlineStr">
        <is>
          <t>Cost per GSF</t>
        </is>
      </c>
      <c r="E39" s="21">
        <f>E38/108675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18" customWidth="1" min="3" max="3"/>
    <col width="30" customWidth="1" min="4" max="4"/>
  </cols>
  <sheetData>
    <row r="1">
      <c r="A1" s="10" t="inlineStr">
        <is>
          <t>SOFT COSTS - PAYMENT TIMING</t>
        </is>
      </c>
    </row>
    <row r="2">
      <c r="A2" t="inlineStr">
        <is>
          <t>CASH: Months 1-12 | IN-KIND: Months 7-24 | Financing: Dynamic</t>
        </is>
      </c>
    </row>
    <row r="4">
      <c r="A4" s="18" t="inlineStr">
        <is>
          <t>Category</t>
        </is>
      </c>
      <c r="B4" s="18" t="inlineStr">
        <is>
          <t>Amount</t>
        </is>
      </c>
      <c r="C4" s="18" t="inlineStr">
        <is>
          <t>Payment Timing</t>
        </is>
      </c>
      <c r="D4" s="18" t="inlineStr">
        <is>
          <t>Basis</t>
        </is>
      </c>
    </row>
    <row r="5">
      <c r="A5" s="22" t="inlineStr">
        <is>
          <t>IN-KIND SOFT COSTS (Months 7-24)</t>
        </is>
      </c>
    </row>
    <row r="6">
      <c r="A6" t="inlineStr">
        <is>
          <t>Architecture &amp; Engineering</t>
        </is>
      </c>
      <c r="B6" s="13">
        <f>TotalHardCosts*0.0335</f>
        <v/>
      </c>
      <c r="C6" s="23" t="inlineStr">
        <is>
          <t>IN-KIND (Mo 7-24)</t>
        </is>
      </c>
      <c r="D6" t="inlineStr">
        <is>
          <t>3.35% of hard costs</t>
        </is>
      </c>
    </row>
    <row r="7">
      <c r="A7" t="inlineStr">
        <is>
          <t>Marketing &amp; Sales</t>
        </is>
      </c>
      <c r="B7" s="13">
        <f>TotalHardCosts*0.0209</f>
        <v/>
      </c>
      <c r="C7" s="23" t="inlineStr">
        <is>
          <t>IN-KIND (Mo 7-24)</t>
        </is>
      </c>
      <c r="D7" t="inlineStr">
        <is>
          <t>2.09% of hard costs</t>
        </is>
      </c>
    </row>
    <row r="8">
      <c r="A8" t="inlineStr">
        <is>
          <t>Legal &amp; Accounting</t>
        </is>
      </c>
      <c r="B8" s="13">
        <f>TotalHardCosts*0.0083</f>
        <v/>
      </c>
      <c r="C8" s="23" t="inlineStr">
        <is>
          <t>IN-KIND (Mo 7-24)</t>
        </is>
      </c>
      <c r="D8" t="inlineStr">
        <is>
          <t>0.83% of hard costs</t>
        </is>
      </c>
    </row>
    <row r="9">
      <c r="A9" t="inlineStr">
        <is>
          <t>Developer Fee</t>
        </is>
      </c>
      <c r="B9" s="13">
        <f>TotalHardCosts*0.0126</f>
        <v/>
      </c>
      <c r="C9" s="23" t="inlineStr">
        <is>
          <t>IN-KIND (Mo 7-24)</t>
        </is>
      </c>
      <c r="D9" t="inlineStr">
        <is>
          <t>1.26% of hard costs</t>
        </is>
      </c>
    </row>
    <row r="10">
      <c r="A10" s="17" t="inlineStr">
        <is>
          <t>SUBTOTAL IN-KIND</t>
        </is>
      </c>
      <c r="B10" s="24">
        <f>SUM(B6:B9)</f>
        <v/>
      </c>
      <c r="D10" t="inlineStr">
        <is>
          <t>18 months (Mo 7-24)</t>
        </is>
      </c>
    </row>
    <row r="12">
      <c r="A12" s="25" t="inlineStr">
        <is>
          <t>CASH SOFT COSTS (Months 1-12)</t>
        </is>
      </c>
    </row>
    <row r="13">
      <c r="A13" t="inlineStr">
        <is>
          <t>Building Permit</t>
        </is>
      </c>
      <c r="B13" s="13">
        <f>TotalHardCosts*0.0126</f>
        <v/>
      </c>
      <c r="C13" s="26" t="inlineStr">
        <is>
          <t>CASH (Mo 1-12)</t>
        </is>
      </c>
      <c r="D13" t="inlineStr">
        <is>
          <t>1.26% of hard costs</t>
        </is>
      </c>
    </row>
    <row r="14">
      <c r="A14" t="inlineStr">
        <is>
          <t>Impact Fees</t>
        </is>
      </c>
      <c r="B14" s="13">
        <f>TotalHardCosts*0.0083</f>
        <v/>
      </c>
      <c r="C14" s="26" t="inlineStr">
        <is>
          <t>CASH (Mo 1-12)</t>
        </is>
      </c>
      <c r="D14" t="inlineStr">
        <is>
          <t>0.83% of hard costs</t>
        </is>
      </c>
    </row>
    <row r="15">
      <c r="A15" t="inlineStr">
        <is>
          <t>Plan Review</t>
        </is>
      </c>
      <c r="B15" s="13">
        <f>TotalHardCosts*0.0041</f>
        <v/>
      </c>
      <c r="C15" s="26" t="inlineStr">
        <is>
          <t>CASH (Mo 1-12)</t>
        </is>
      </c>
      <c r="D15" t="inlineStr">
        <is>
          <t>0.41% of hard costs</t>
        </is>
      </c>
    </row>
    <row r="16">
      <c r="A16" t="inlineStr">
        <is>
          <t>Insurance</t>
        </is>
      </c>
      <c r="B16" s="13">
        <f>TotalHardCosts*0.0067</f>
        <v/>
      </c>
      <c r="C16" s="26" t="inlineStr">
        <is>
          <t>CASH (Mo 1-12)</t>
        </is>
      </c>
      <c r="D16" t="inlineStr">
        <is>
          <t>0.67% of hard costs</t>
        </is>
      </c>
    </row>
    <row r="17">
      <c r="A17" t="inlineStr">
        <is>
          <t>Testing &amp; Inspections</t>
        </is>
      </c>
      <c r="B17" s="13">
        <f>TotalHardCosts*0.0024</f>
        <v/>
      </c>
      <c r="C17" s="26" t="inlineStr">
        <is>
          <t>CASH (Mo 1-12)</t>
        </is>
      </c>
      <c r="D17" t="inlineStr">
        <is>
          <t>0.24% of hard costs</t>
        </is>
      </c>
    </row>
    <row r="18">
      <c r="A18" t="inlineStr">
        <is>
          <t>Utilities &amp; Misc</t>
        </is>
      </c>
      <c r="B18" s="13">
        <f>TotalHardCosts*0.0016</f>
        <v/>
      </c>
      <c r="C18" s="26" t="inlineStr">
        <is>
          <t>CASH (Mo 1-12)</t>
        </is>
      </c>
      <c r="D18" t="inlineStr">
        <is>
          <t>0.16% of hard costs</t>
        </is>
      </c>
    </row>
    <row r="19">
      <c r="A19" s="17" t="inlineStr">
        <is>
          <t>SUBTOTAL CASH</t>
        </is>
      </c>
      <c r="B19" s="24">
        <f>SUM(B13:B18)</f>
        <v/>
      </c>
      <c r="D19" t="inlineStr">
        <is>
          <t>12 months (Mo 1-12)</t>
        </is>
      </c>
    </row>
    <row r="21">
      <c r="A21" s="27" t="inlineStr">
        <is>
          <t>FINANCING COSTS (Dynamic)</t>
        </is>
      </c>
    </row>
    <row r="22">
      <c r="A22" t="inlineStr">
        <is>
          <t>Bridge Loan Interest</t>
        </is>
      </c>
      <c r="B22" s="3">
        <f>TotalFinancingCosts</f>
        <v/>
      </c>
      <c r="C22" t="inlineStr">
        <is>
          <t>Variable (9%/yr)</t>
        </is>
      </c>
      <c r="D22" t="inlineStr">
        <is>
          <t>Calculated in Cash Flow sheet</t>
        </is>
      </c>
    </row>
    <row r="24">
      <c r="A24" s="28" t="inlineStr">
        <is>
          <t>SUBTOTAL SOFT COSTS (Before Financing)</t>
        </is>
      </c>
      <c r="B24" s="24">
        <f>B10+B19</f>
        <v/>
      </c>
    </row>
    <row r="25">
      <c r="A25" s="5" t="inlineStr">
        <is>
          <t>TOTAL SOFT COSTS (With Financing)</t>
        </is>
      </c>
      <c r="B25" s="6">
        <f>B24+B22</f>
        <v/>
      </c>
    </row>
    <row r="26">
      <c r="A26" s="17" t="inlineStr">
        <is>
          <t>% of Hard Costs</t>
        </is>
      </c>
      <c r="B26" s="8">
        <f>B25/TotalHardCosts</f>
        <v/>
      </c>
      <c r="D26" t="inlineStr">
        <is>
          <t>Target: 12.0%</t>
        </is>
      </c>
    </row>
    <row r="27">
      <c r="A27" s="17" t="inlineStr">
        <is>
          <t>Cost per GSF</t>
        </is>
      </c>
      <c r="B27" s="21">
        <f>B25/108675</f>
        <v/>
      </c>
    </row>
  </sheetData>
  <mergeCells count="5">
    <mergeCell ref="A1:D1"/>
    <mergeCell ref="A5:D5"/>
    <mergeCell ref="A12:D12"/>
    <mergeCell ref="A21:D2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0" t="inlineStr">
        <is>
          <t>REVENUE ANALYSIS</t>
        </is>
      </c>
    </row>
    <row r="3">
      <c r="A3" s="18" t="inlineStr">
        <is>
          <t>Floor</t>
        </is>
      </c>
      <c r="B3" s="18" t="inlineStr">
        <is>
          <t>Unit Type</t>
        </is>
      </c>
      <c r="C3" s="18" t="inlineStr">
        <is>
          <t>Units</t>
        </is>
      </c>
      <c r="D3" s="18" t="inlineStr">
        <is>
          <t>NSF</t>
        </is>
      </c>
      <c r="E3" s="18" t="inlineStr">
        <is>
          <t>$/SF</t>
        </is>
      </c>
      <c r="F3" s="18" t="inlineStr">
        <is>
          <t>Total Revenue</t>
        </is>
      </c>
    </row>
    <row r="4">
      <c r="A4" t="inlineStr">
        <is>
          <t>4-5</t>
        </is>
      </c>
      <c r="B4" t="inlineStr">
        <is>
          <t>Hospitality 2BR/1.5BA</t>
        </is>
      </c>
      <c r="C4" t="n">
        <v>32</v>
      </c>
      <c r="D4" s="12" t="n">
        <v>25200</v>
      </c>
      <c r="E4" s="13" t="n">
        <v>1200</v>
      </c>
      <c r="F4" s="3">
        <f>D4*E4</f>
        <v/>
      </c>
    </row>
    <row r="5">
      <c r="A5" t="inlineStr">
        <is>
          <t>6</t>
        </is>
      </c>
      <c r="B5" t="inlineStr">
        <is>
          <t>Hospitality 2BR/1.5BA</t>
        </is>
      </c>
      <c r="C5" t="n">
        <v>10</v>
      </c>
      <c r="D5" s="12" t="n">
        <v>8680</v>
      </c>
      <c r="E5" s="13" t="n">
        <v>1200</v>
      </c>
      <c r="F5" s="3">
        <f>D5*E5</f>
        <v/>
      </c>
    </row>
    <row r="6">
      <c r="A6" t="inlineStr">
        <is>
          <t>7</t>
        </is>
      </c>
      <c r="B6" t="inlineStr">
        <is>
          <t>Condos 3BR/2BA</t>
        </is>
      </c>
      <c r="C6" t="n">
        <v>8</v>
      </c>
      <c r="D6" s="12" t="n">
        <v>8680</v>
      </c>
      <c r="E6" s="13" t="n">
        <v>1200</v>
      </c>
      <c r="F6" s="3">
        <f>D6*E6</f>
        <v/>
      </c>
    </row>
    <row r="7">
      <c r="A7" t="inlineStr">
        <is>
          <t>1</t>
        </is>
      </c>
      <c r="B7" t="inlineStr">
        <is>
          <t>Chabad/Mikvah (at cost)</t>
        </is>
      </c>
      <c r="C7" t="n">
        <v>1</v>
      </c>
      <c r="D7" s="12" t="n">
        <v>10500</v>
      </c>
      <c r="E7" s="13" t="n">
        <v>400</v>
      </c>
      <c r="F7" s="3">
        <f>D7*E7</f>
        <v/>
      </c>
    </row>
    <row r="9">
      <c r="B9" s="5" t="inlineStr">
        <is>
          <t>TOTAL REVENUE</t>
        </is>
      </c>
      <c r="C9" s="17">
        <f>SUM(C4:C7)</f>
        <v/>
      </c>
      <c r="F9" s="6">
        <f>SUM(F4:F7)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NEVO TOWER - PROJECT DEAL STRUCTURE</t>
        </is>
      </c>
    </row>
    <row r="2">
      <c r="A2" s="29" t="inlineStr">
        <is>
          <t>Complete Partnership Structure, Financing, and Payout Waterfall</t>
        </is>
      </c>
    </row>
    <row r="4">
      <c r="A4" s="11" t="inlineStr">
        <is>
          <t>THE PARTIES</t>
        </is>
      </c>
    </row>
    <row r="5">
      <c r="A5" s="17" t="inlineStr">
        <is>
          <t>Simcha Connection (SC)</t>
        </is>
      </c>
      <c r="B5" t="inlineStr">
        <is>
          <t>Land Owner - 1580 79th St, North Bay Village</t>
        </is>
      </c>
      <c r="D5" t="inlineStr">
        <is>
          <t>$10M land value</t>
        </is>
      </c>
    </row>
    <row r="6">
      <c r="A6" s="17" t="inlineStr">
        <is>
          <t>Developer Partner</t>
        </is>
      </c>
      <c r="B6" t="inlineStr">
        <is>
          <t>Development partner sought by SC</t>
        </is>
      </c>
      <c r="D6" t="inlineStr">
        <is>
          <t>Cash + expertise</t>
        </is>
      </c>
    </row>
    <row r="7">
      <c r="A7" s="17" t="inlineStr"/>
      <c r="B7" t="inlineStr">
        <is>
          <t>Partnership is 50/50 profit split AFTER obligations</t>
        </is>
      </c>
    </row>
    <row r="9">
      <c r="A9" s="11" t="inlineStr">
        <is>
          <t>SC CONTRIBUTIONS &amp; PAYMENTS</t>
        </is>
      </c>
    </row>
    <row r="10">
      <c r="A10" s="17" t="inlineStr">
        <is>
          <t>Item</t>
        </is>
      </c>
      <c r="B10" s="17" t="inlineStr">
        <is>
          <t>Amount</t>
        </is>
      </c>
      <c r="C10" s="17" t="inlineStr">
        <is>
          <t>Timing</t>
        </is>
      </c>
      <c r="D10" s="17" t="inlineStr">
        <is>
          <t>Type</t>
        </is>
      </c>
      <c r="E10" s="17" t="inlineStr">
        <is>
          <t>Interest?</t>
        </is>
      </c>
    </row>
    <row r="11">
      <c r="A11" t="inlineStr">
        <is>
          <t>Land (In-Kind)</t>
        </is>
      </c>
      <c r="B11" t="inlineStr">
        <is>
          <t>$8,000,000</t>
        </is>
      </c>
      <c r="C11" t="inlineStr">
        <is>
          <t>Upfront</t>
        </is>
      </c>
      <c r="D11" t="inlineStr">
        <is>
          <t>Equity contribution</t>
        </is>
      </c>
      <c r="E11" t="inlineStr">
        <is>
          <t>NO</t>
        </is>
      </c>
    </row>
    <row r="12">
      <c r="A12" t="inlineStr">
        <is>
          <t>Cash to SC from Dev</t>
        </is>
      </c>
      <c r="B12" t="inlineStr">
        <is>
          <t>$1,250,000</t>
        </is>
      </c>
      <c r="C12" t="inlineStr">
        <is>
          <t>Month 0 (key money)</t>
        </is>
      </c>
      <c r="D12" t="inlineStr">
        <is>
          <t>Cash OUT to SC</t>
        </is>
      </c>
      <c r="E12" t="inlineStr">
        <is>
          <t>N/A</t>
        </is>
      </c>
    </row>
    <row r="13">
      <c r="A13" t="inlineStr">
        <is>
          <t>Cash to SC from Dev</t>
        </is>
      </c>
      <c r="B13" t="inlineStr">
        <is>
          <t>$750,000</t>
        </is>
      </c>
      <c r="C13" t="inlineStr">
        <is>
          <t>Month 6</t>
        </is>
      </c>
      <c r="D13" t="inlineStr">
        <is>
          <t>Cash OUT to SC</t>
        </is>
      </c>
      <c r="E13" t="inlineStr">
        <is>
          <t>N/A</t>
        </is>
      </c>
    </row>
    <row r="14">
      <c r="A14" t="inlineStr">
        <is>
          <t>Land Payment AT EXIT</t>
        </is>
      </c>
      <c r="B14" t="inlineStr">
        <is>
          <t>$8,000,000</t>
        </is>
      </c>
      <c r="C14" t="inlineStr">
        <is>
          <t>After all vendors paid</t>
        </is>
      </c>
      <c r="D14" t="inlineStr">
        <is>
          <t>From windfall</t>
        </is>
      </c>
      <c r="E14" s="30" t="inlineStr">
        <is>
          <t>NO!</t>
        </is>
      </c>
    </row>
    <row r="16">
      <c r="A16" s="11" t="inlineStr">
        <is>
          <t>FINANCING STRUCTURE</t>
        </is>
      </c>
    </row>
    <row r="17">
      <c r="A17" s="17" t="inlineStr">
        <is>
          <t>Source</t>
        </is>
      </c>
      <c r="B17" s="17" t="inlineStr">
        <is>
          <t>Amount</t>
        </is>
      </c>
      <c r="C17" s="17" t="inlineStr">
        <is>
          <t>Duration</t>
        </is>
      </c>
      <c r="D17" s="17" t="inlineStr">
        <is>
          <t>Purpose</t>
        </is>
      </c>
      <c r="E17" s="17" t="inlineStr">
        <is>
          <t>Cost</t>
        </is>
      </c>
    </row>
    <row r="18">
      <c r="A18" t="inlineStr">
        <is>
          <t>Developer Cash OUT to SC</t>
        </is>
      </c>
      <c r="B18" t="inlineStr">
        <is>
          <t>$2,000,000</t>
        </is>
      </c>
      <c r="C18" t="inlineStr">
        <is>
          <t>Upfront</t>
        </is>
      </c>
      <c r="D18" t="inlineStr">
        <is>
          <t>SC receives cash payments</t>
        </is>
      </c>
      <c r="E18" s="31" t="inlineStr">
        <is>
          <t>$0</t>
        </is>
      </c>
    </row>
    <row r="19">
      <c r="A19" t="inlineStr">
        <is>
          <t>Bridge Loan</t>
        </is>
      </c>
      <c r="B19" t="inlineStr">
        <is>
          <t>~$6,600,000</t>
        </is>
      </c>
      <c r="C19" t="inlineStr">
        <is>
          <t>9 months</t>
        </is>
      </c>
      <c r="D19" t="inlineStr">
        <is>
          <t>Construction subtotal only</t>
        </is>
      </c>
      <c r="E19" t="inlineStr">
        <is>
          <t>~$420K</t>
        </is>
      </c>
    </row>
    <row r="20">
      <c r="A20" t="inlineStr">
        <is>
          <t>Pre-Sales Deposits</t>
        </is>
      </c>
      <c r="B20" t="inlineStr">
        <is>
          <t>~$14,700,000</t>
        </is>
      </c>
      <c r="C20" t="inlineStr">
        <is>
          <t>Months 1-24</t>
        </is>
      </c>
      <c r="D20" t="inlineStr">
        <is>
          <t>Remaining construction</t>
        </is>
      </c>
      <c r="E20" s="31" t="inlineStr">
        <is>
          <t>$0</t>
        </is>
      </c>
    </row>
    <row r="21">
      <c r="A21" t="inlineStr">
        <is>
          <t>Vendor Terms</t>
        </is>
      </c>
      <c r="B21" t="inlineStr">
        <is>
          <t>Variable</t>
        </is>
      </c>
      <c r="C21" t="inlineStr">
        <is>
          <t>Ongoing</t>
        </is>
      </c>
      <c r="D21" t="inlineStr">
        <is>
          <t>GC/OH&amp;P/Contingencies</t>
        </is>
      </c>
      <c r="E21" s="31" t="inlineStr">
        <is>
          <t>$0</t>
        </is>
      </c>
    </row>
    <row r="22">
      <c r="A22" t="inlineStr">
        <is>
          <t>In-Kind Suppliers</t>
        </is>
      </c>
      <c r="B22" t="inlineStr">
        <is>
          <t>Variable</t>
        </is>
      </c>
      <c r="C22" t="inlineStr">
        <is>
          <t>Ongoing</t>
        </is>
      </c>
      <c r="D22" t="inlineStr">
        <is>
          <t>Materials at cost</t>
        </is>
      </c>
      <c r="E22" s="31" t="inlineStr">
        <is>
          <t>$0</t>
        </is>
      </c>
    </row>
    <row r="24">
      <c r="A24" s="32" t="inlineStr">
        <is>
          <t>KEY POINT:</t>
        </is>
      </c>
      <c r="B24" t="inlineStr">
        <is>
          <t>Pre-sales from Month 10+ cover ALL remaining construction costs</t>
        </is>
      </c>
    </row>
    <row r="26">
      <c r="A26" s="11" t="inlineStr">
        <is>
          <t>PAYMENT WATERFALL (AT PROJECT EXIT)</t>
        </is>
      </c>
    </row>
    <row r="27">
      <c r="A27" s="17" t="inlineStr">
        <is>
          <t>Priority</t>
        </is>
      </c>
      <c r="B27" s="17" t="inlineStr">
        <is>
          <t>Payee</t>
        </is>
      </c>
      <c r="C27" s="17" t="inlineStr">
        <is>
          <t>Amount</t>
        </is>
      </c>
      <c r="D27" s="17" t="inlineStr">
        <is>
          <t>Description</t>
        </is>
      </c>
    </row>
    <row r="28">
      <c r="A28" s="31" t="inlineStr">
        <is>
          <t>0</t>
        </is>
      </c>
      <c r="B28" t="inlineStr">
        <is>
          <t>Total Revenue</t>
        </is>
      </c>
      <c r="C28" t="inlineStr">
        <is>
          <t>$55,272,000</t>
        </is>
      </c>
      <c r="D28" t="inlineStr">
        <is>
          <t>Gross sales revenue from 50 units</t>
        </is>
      </c>
    </row>
    <row r="29">
      <c r="A29" t="inlineStr">
        <is>
          <t>1</t>
        </is>
      </c>
      <c r="B29" t="inlineStr">
        <is>
          <t>Bridge Loan Payoff</t>
        </is>
      </c>
      <c r="C29" t="inlineStr">
        <is>
          <t>~$420,000</t>
        </is>
      </c>
      <c r="D29" t="inlineStr">
        <is>
          <t>Principal + interest (if balance remains)</t>
        </is>
      </c>
    </row>
    <row r="30">
      <c r="A30" t="inlineStr">
        <is>
          <t>2</t>
        </is>
      </c>
      <c r="B30" t="inlineStr">
        <is>
          <t>Vendors/Contractors</t>
        </is>
      </c>
      <c r="C30" t="inlineStr">
        <is>
          <t>~$32,609,001</t>
        </is>
      </c>
      <c r="D30" t="inlineStr">
        <is>
          <t>All construction costs paid</t>
        </is>
      </c>
    </row>
    <row r="31">
      <c r="A31" t="inlineStr">
        <is>
          <t>3</t>
        </is>
      </c>
      <c r="B31" t="inlineStr">
        <is>
          <t>Soft Costs</t>
        </is>
      </c>
      <c r="C31" t="inlineStr">
        <is>
          <t>~$4,600,000</t>
        </is>
      </c>
      <c r="D31" t="inlineStr">
        <is>
          <t>A&amp;E, marketing, permits, etc.</t>
        </is>
      </c>
    </row>
    <row r="32">
      <c r="A32" s="33" t="inlineStr">
        <is>
          <t>4</t>
        </is>
      </c>
      <c r="B32" t="inlineStr">
        <is>
          <t>SC Land Payment</t>
        </is>
      </c>
      <c r="C32" t="inlineStr">
        <is>
          <t>$8,000,000</t>
        </is>
      </c>
      <c r="D32" t="inlineStr">
        <is>
          <t>NO INTEREST! Paid from windfall</t>
        </is>
      </c>
    </row>
    <row r="33">
      <c r="A33" s="33" t="inlineStr">
        <is>
          <t>5</t>
        </is>
      </c>
      <c r="B33" t="inlineStr">
        <is>
          <t>Remaining Windfall</t>
        </is>
      </c>
      <c r="C33" t="inlineStr">
        <is>
          <t>~$9,643,000</t>
        </is>
      </c>
      <c r="D33" t="inlineStr">
        <is>
          <t>Available for profit split</t>
        </is>
      </c>
    </row>
    <row r="34">
      <c r="A34" s="34" t="inlineStr">
        <is>
          <t>6</t>
        </is>
      </c>
      <c r="B34" t="inlineStr">
        <is>
          <t>SC Share (50%)</t>
        </is>
      </c>
      <c r="C34" t="inlineStr">
        <is>
          <t>~$4,821,500</t>
        </is>
      </c>
      <c r="D34" t="inlineStr">
        <is>
          <t>50% of windfall after all obligations</t>
        </is>
      </c>
    </row>
    <row r="35">
      <c r="A35" s="34" t="inlineStr">
        <is>
          <t>7</t>
        </is>
      </c>
      <c r="B35" t="inlineStr">
        <is>
          <t>Developer Share (50%)</t>
        </is>
      </c>
      <c r="C35" t="inlineStr">
        <is>
          <t>~$4,821,500</t>
        </is>
      </c>
      <c r="D35" t="inlineStr">
        <is>
          <t>50% of windfall after all obligations</t>
        </is>
      </c>
    </row>
    <row r="37">
      <c r="A37" s="11" t="inlineStr">
        <is>
          <t>DEVELOPER ECONOMICS</t>
        </is>
      </c>
    </row>
    <row r="38">
      <c r="A38" t="inlineStr">
        <is>
          <t>Cash OUT (Investment to SC)</t>
        </is>
      </c>
      <c r="B38" s="3" t="inlineStr">
        <is>
          <t>$2,000,000</t>
        </is>
      </c>
      <c r="D38" t="inlineStr">
        <is>
          <t>Paid to SC upfront</t>
        </is>
      </c>
    </row>
    <row r="39">
      <c r="A39" t="inlineStr">
        <is>
          <t>Cash IN (Return)</t>
        </is>
      </c>
      <c r="B39" s="3" t="inlineStr">
        <is>
          <t>~$4,821,500</t>
        </is>
      </c>
      <c r="D39" t="inlineStr">
        <is>
          <t>50% of windfall</t>
        </is>
      </c>
    </row>
    <row r="40">
      <c r="A40" s="17" t="inlineStr">
        <is>
          <t>Net Profit</t>
        </is>
      </c>
      <c r="B40" s="7" t="inlineStr">
        <is>
          <t>~$2,821,500</t>
        </is>
      </c>
      <c r="D40" t="inlineStr">
        <is>
          <t>$4.82M - $2M investment</t>
        </is>
      </c>
    </row>
    <row r="41">
      <c r="A41" s="5" t="inlineStr">
        <is>
          <t>ROI</t>
        </is>
      </c>
      <c r="B41" s="35" t="inlineStr">
        <is>
          <t>141%</t>
        </is>
      </c>
      <c r="D41" t="inlineStr">
        <is>
          <t>$2.82M profit / $2M investment</t>
        </is>
      </c>
    </row>
    <row r="43">
      <c r="A43" s="11" t="inlineStr">
        <is>
          <t>KEY DEAL BENEFITS</t>
        </is>
      </c>
    </row>
    <row r="44">
      <c r="A44" s="17" t="inlineStr">
        <is>
          <t>✓ NO INTEREST on $8M SC land payment</t>
        </is>
      </c>
      <c r="B44" t="inlineStr">
        <is>
          <t>Massive savings vs traditional land purchase</t>
        </is>
      </c>
    </row>
    <row r="45">
      <c r="A45" s="17" t="inlineStr">
        <is>
          <t>✓ Bridge loan only 9 months</t>
        </is>
      </c>
      <c r="B45" t="inlineStr">
        <is>
          <t>Pre-sales cover construction from Month 10+</t>
        </is>
      </c>
    </row>
    <row r="46">
      <c r="A46" s="17" t="inlineStr">
        <is>
          <t>✓ Vendor payment terms</t>
        </is>
      </c>
      <c r="B46" t="inlineStr">
        <is>
          <t>GC/OH&amp;P/contingencies funded by terms, not loan</t>
        </is>
      </c>
    </row>
    <row r="47">
      <c r="A47" s="17" t="inlineStr">
        <is>
          <t>✓ In-kind supplier opportunities</t>
        </is>
      </c>
      <c r="B47" t="inlineStr">
        <is>
          <t>Reduce cash needed with material contributions</t>
        </is>
      </c>
    </row>
    <row r="48">
      <c r="A48" s="17" t="inlineStr">
        <is>
          <t>✓ 141% ROI on $2M investment</t>
        </is>
      </c>
      <c r="B48" t="inlineStr">
        <is>
          <t>Developer gets $4.82M from $2M investment</t>
        </is>
      </c>
    </row>
    <row r="49">
      <c r="A49" s="17" t="inlineStr">
        <is>
          <t>✓ Pre-sales de-risk project</t>
        </is>
      </c>
      <c r="B49" t="inlineStr">
        <is>
          <t>Units sold before completion = guaranteed revenue</t>
        </is>
      </c>
    </row>
  </sheetData>
  <mergeCells count="15">
    <mergeCell ref="B45:E45"/>
    <mergeCell ref="A4:E4"/>
    <mergeCell ref="A26:E26"/>
    <mergeCell ref="A43:E43"/>
    <mergeCell ref="A2:E2"/>
    <mergeCell ref="A16:E16"/>
    <mergeCell ref="B49:E49"/>
    <mergeCell ref="B44:E44"/>
    <mergeCell ref="B48:E48"/>
    <mergeCell ref="A1:E1"/>
    <mergeCell ref="A37:E37"/>
    <mergeCell ref="B24:E24"/>
    <mergeCell ref="B47:E47"/>
    <mergeCell ref="B46:E46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4" customWidth="1" min="8" max="8"/>
    <col width="14" customWidth="1" min="9" max="9"/>
    <col width="13" customWidth="1" min="10" max="10"/>
    <col width="14" customWidth="1" min="11" max="11"/>
    <col width="11" customWidth="1" min="12" max="12"/>
    <col width="14" customWidth="1" min="13" max="13"/>
    <col width="14" customWidth="1" min="14" max="14"/>
    <col width="10" customWidth="1" min="15" max="15"/>
  </cols>
  <sheetData>
    <row r="1">
      <c r="A1" s="10" t="inlineStr">
        <is>
          <t>NEVO TOWER - 24-MONTH CASH FLOW WITH PRE-SALES</t>
        </is>
      </c>
    </row>
    <row r="2">
      <c r="A2" t="inlineStr">
        <is>
          <t>CASH (Mo 1-12) | IN-KIND (Mo 7-24) | Financing calculated dynamically</t>
        </is>
      </c>
    </row>
    <row r="4">
      <c r="A4" s="18" t="inlineStr">
        <is>
          <t>Month</t>
        </is>
      </c>
      <c r="B4" s="18" t="inlineStr">
        <is>
          <t>Activity</t>
        </is>
      </c>
      <c r="C4" s="18" t="inlineStr">
        <is>
          <t>Hard Cost</t>
        </is>
      </c>
      <c r="D4" s="18" t="inlineStr">
        <is>
          <t>CASH Soft</t>
        </is>
      </c>
      <c r="E4" s="18" t="inlineStr">
        <is>
          <t>IN-KIND Soft</t>
        </is>
      </c>
      <c r="F4" s="18" t="inlineStr">
        <is>
          <t>SC Cash</t>
        </is>
      </c>
      <c r="G4" s="18" t="inlineStr">
        <is>
          <t>Units Sold</t>
        </is>
      </c>
      <c r="H4" s="18" t="inlineStr">
        <is>
          <t>Pre-Sales $</t>
        </is>
      </c>
      <c r="I4" s="18" t="inlineStr">
        <is>
          <t>Usable (90%)</t>
        </is>
      </c>
      <c r="J4" s="18" t="inlineStr">
        <is>
          <t>Cash IN</t>
        </is>
      </c>
      <c r="K4" s="18" t="inlineStr">
        <is>
          <t>Net Flow</t>
        </is>
      </c>
      <c r="L4" s="18" t="inlineStr">
        <is>
          <t>Cumulative</t>
        </is>
      </c>
      <c r="M4" s="18" t="inlineStr">
        <is>
          <t>Bridge Bal</t>
        </is>
      </c>
      <c r="N4" s="18" t="inlineStr">
        <is>
          <t>Interest</t>
        </is>
      </c>
      <c r="O4" s="18" t="inlineStr">
        <is>
          <t>Final Cum</t>
        </is>
      </c>
    </row>
    <row r="5">
      <c r="A5" t="n">
        <v>1</v>
      </c>
      <c r="B5" t="inlineStr">
        <is>
          <t>Foundation</t>
        </is>
      </c>
      <c r="C5" s="3">
        <f>TotalHardCosts*0.03</f>
        <v/>
      </c>
      <c r="D5" s="3">
        <f>TotalCashSoftCosts/12</f>
        <v/>
      </c>
      <c r="E5" s="3" t="n">
        <v>0</v>
      </c>
      <c r="F5" s="3">
        <f>-LandPartner_Cash1</f>
        <v/>
      </c>
      <c r="G5" t="n">
        <v>1</v>
      </c>
      <c r="H5" s="3">
        <f>G5*(TotalRevenue/50)*0.25</f>
        <v/>
      </c>
      <c r="I5" s="3">
        <f>H5*0.90</f>
        <v/>
      </c>
      <c r="J5" s="3">
        <f>F5+I5</f>
        <v/>
      </c>
      <c r="K5" s="3">
        <f>J5-C5-D5-E5</f>
        <v/>
      </c>
      <c r="L5" s="3">
        <f>K5</f>
        <v/>
      </c>
      <c r="M5" s="36">
        <f>IF(L5&lt;0,-L5,0)</f>
        <v/>
      </c>
      <c r="N5" s="3">
        <f>M5*Finance_Rate/12</f>
        <v/>
      </c>
      <c r="O5" s="37">
        <f>L5-N5</f>
        <v/>
      </c>
    </row>
    <row r="6">
      <c r="A6" t="n">
        <v>2</v>
      </c>
      <c r="B6" t="inlineStr">
        <is>
          <t>Foundation</t>
        </is>
      </c>
      <c r="C6" s="3">
        <f>TotalHardCosts*0.04</f>
        <v/>
      </c>
      <c r="D6" s="3">
        <f>TotalCashSoftCosts/12</f>
        <v/>
      </c>
      <c r="E6" s="3" t="n">
        <v>0</v>
      </c>
      <c r="F6" s="3" t="n">
        <v>0</v>
      </c>
      <c r="G6" t="n">
        <v>2</v>
      </c>
      <c r="H6" s="3">
        <f>G6*(TotalRevenue/50)*0.25</f>
        <v/>
      </c>
      <c r="I6" s="3">
        <f>H6*0.90</f>
        <v/>
      </c>
      <c r="J6" s="3">
        <f>F6+I6</f>
        <v/>
      </c>
      <c r="K6" s="3">
        <f>J6-C6-D6-E6</f>
        <v/>
      </c>
      <c r="L6" s="3">
        <f>L5+K6</f>
        <v/>
      </c>
      <c r="M6" s="36">
        <f>IF(L6&lt;0,-L6,0)</f>
        <v/>
      </c>
      <c r="N6" s="3">
        <f>M6*Finance_Rate/12</f>
        <v/>
      </c>
      <c r="O6" s="37">
        <f>L6-N6</f>
        <v/>
      </c>
    </row>
    <row r="7">
      <c r="A7" t="n">
        <v>3</v>
      </c>
      <c r="B7" t="inlineStr">
        <is>
          <t>Site Work</t>
        </is>
      </c>
      <c r="C7" s="3">
        <f>TotalHardCosts*0.05</f>
        <v/>
      </c>
      <c r="D7" s="3">
        <f>TotalCashSoftCosts/12</f>
        <v/>
      </c>
      <c r="E7" s="3" t="n">
        <v>0</v>
      </c>
      <c r="F7" s="3" t="n">
        <v>0</v>
      </c>
      <c r="G7" t="n">
        <v>2</v>
      </c>
      <c r="H7" s="3">
        <f>G7*(TotalRevenue/50)*0.25</f>
        <v/>
      </c>
      <c r="I7" s="3">
        <f>H7*0.90</f>
        <v/>
      </c>
      <c r="J7" s="3">
        <f>F7+I7</f>
        <v/>
      </c>
      <c r="K7" s="3">
        <f>J7-C7-D7-E7</f>
        <v/>
      </c>
      <c r="L7" s="3">
        <f>L6+K7</f>
        <v/>
      </c>
      <c r="M7" s="36">
        <f>IF(L7&lt;0,-L7,0)</f>
        <v/>
      </c>
      <c r="N7" s="3">
        <f>M7*Finance_Rate/12</f>
        <v/>
      </c>
      <c r="O7" s="37">
        <f>L7-N7</f>
        <v/>
      </c>
    </row>
    <row r="8">
      <c r="A8" t="n">
        <v>4</v>
      </c>
      <c r="B8" t="inlineStr">
        <is>
          <t>Site Work</t>
        </is>
      </c>
      <c r="C8" s="3">
        <f>TotalHardCosts*0.06</f>
        <v/>
      </c>
      <c r="D8" s="3">
        <f>TotalCashSoftCosts/12</f>
        <v/>
      </c>
      <c r="E8" s="3" t="n">
        <v>0</v>
      </c>
      <c r="F8" s="3" t="n">
        <v>0</v>
      </c>
      <c r="G8" t="n">
        <v>3</v>
      </c>
      <c r="H8" s="3">
        <f>G8*(TotalRevenue/50)*0.25</f>
        <v/>
      </c>
      <c r="I8" s="3">
        <f>H8*0.90</f>
        <v/>
      </c>
      <c r="J8" s="3">
        <f>F8+I8</f>
        <v/>
      </c>
      <c r="K8" s="3">
        <f>J8-C8-D8-E8</f>
        <v/>
      </c>
      <c r="L8" s="3">
        <f>L7+K8</f>
        <v/>
      </c>
      <c r="M8" s="36">
        <f>IF(L8&lt;0,-L8,0)</f>
        <v/>
      </c>
      <c r="N8" s="3">
        <f>M8*Finance_Rate/12</f>
        <v/>
      </c>
      <c r="O8" s="37">
        <f>L8-N8</f>
        <v/>
      </c>
    </row>
    <row r="9">
      <c r="A9" t="n">
        <v>5</v>
      </c>
      <c r="B9" t="inlineStr">
        <is>
          <t>Superstructure</t>
        </is>
      </c>
      <c r="C9" s="3">
        <f>TotalHardCosts*0.07</f>
        <v/>
      </c>
      <c r="D9" s="3">
        <f>TotalCashSoftCosts/12</f>
        <v/>
      </c>
      <c r="E9" s="3" t="n">
        <v>0</v>
      </c>
      <c r="F9" s="3" t="n">
        <v>0</v>
      </c>
      <c r="G9" t="n">
        <v>3</v>
      </c>
      <c r="H9" s="3">
        <f>(G9*(TotalRevenue/50)*0.50)+(SUM($G$5:$G$8)*(TotalRevenue/50)*0.25)</f>
        <v/>
      </c>
      <c r="I9" s="3">
        <f>H9*0.90</f>
        <v/>
      </c>
      <c r="J9" s="3">
        <f>F9+I9</f>
        <v/>
      </c>
      <c r="K9" s="3">
        <f>J9-C9-D9-E9</f>
        <v/>
      </c>
      <c r="L9" s="3">
        <f>L8+K9</f>
        <v/>
      </c>
      <c r="M9" s="36">
        <f>IF(L9&lt;0,-L9,0)</f>
        <v/>
      </c>
      <c r="N9" s="3">
        <f>M9*Finance_Rate/12</f>
        <v/>
      </c>
      <c r="O9" s="37">
        <f>L9-N9</f>
        <v/>
      </c>
    </row>
    <row r="10">
      <c r="A10" t="n">
        <v>6</v>
      </c>
      <c r="B10" t="inlineStr">
        <is>
          <t>Superstructure</t>
        </is>
      </c>
      <c r="C10" s="3">
        <f>TotalHardCosts*0.08</f>
        <v/>
      </c>
      <c r="D10" s="3">
        <f>TotalCashSoftCosts/12</f>
        <v/>
      </c>
      <c r="E10" s="3" t="n">
        <v>0</v>
      </c>
      <c r="F10" s="3">
        <f>-LandPartner_Cash2</f>
        <v/>
      </c>
      <c r="G10" t="n">
        <v>3</v>
      </c>
      <c r="H10" s="3">
        <f>G10*(TotalRevenue/50)*0.50</f>
        <v/>
      </c>
      <c r="I10" s="3">
        <f>H10*0.90</f>
        <v/>
      </c>
      <c r="J10" s="3">
        <f>F10+I10</f>
        <v/>
      </c>
      <c r="K10" s="3">
        <f>J10-C10-D10-E10</f>
        <v/>
      </c>
      <c r="L10" s="3">
        <f>L9+K10</f>
        <v/>
      </c>
      <c r="M10" s="36">
        <f>IF(L10&lt;0,-L10,0)</f>
        <v/>
      </c>
      <c r="N10" s="3">
        <f>M10*Finance_Rate/12</f>
        <v/>
      </c>
      <c r="O10" s="37">
        <f>L10-N10</f>
        <v/>
      </c>
    </row>
    <row r="11">
      <c r="A11" t="n">
        <v>7</v>
      </c>
      <c r="B11" t="inlineStr">
        <is>
          <t>Superstructure</t>
        </is>
      </c>
      <c r="C11" s="3">
        <f>TotalHardCosts*0.08</f>
        <v/>
      </c>
      <c r="D11" s="3">
        <f>TotalCashSoftCosts/12</f>
        <v/>
      </c>
      <c r="E11" s="3">
        <f>TotalInKindCosts/18</f>
        <v/>
      </c>
      <c r="F11" s="3" t="n">
        <v>0</v>
      </c>
      <c r="G11" t="n">
        <v>4</v>
      </c>
      <c r="H11" s="3">
        <f>G11*(TotalRevenue/50)*0.50</f>
        <v/>
      </c>
      <c r="I11" s="3">
        <f>H11*0.90</f>
        <v/>
      </c>
      <c r="J11" s="3">
        <f>F11+I11</f>
        <v/>
      </c>
      <c r="K11" s="3">
        <f>J11-C11-D11-E11</f>
        <v/>
      </c>
      <c r="L11" s="3">
        <f>L10+K11</f>
        <v/>
      </c>
      <c r="M11" s="36">
        <f>IF(L11&lt;0,-L11,0)</f>
        <v/>
      </c>
      <c r="N11" s="3">
        <f>M11*Finance_Rate/12</f>
        <v/>
      </c>
      <c r="O11" s="37">
        <f>L11-N11</f>
        <v/>
      </c>
    </row>
    <row r="12">
      <c r="A12" t="n">
        <v>8</v>
      </c>
      <c r="B12" t="inlineStr">
        <is>
          <t>Superstructure</t>
        </is>
      </c>
      <c r="C12" s="3">
        <f>TotalHardCosts*0.07</f>
        <v/>
      </c>
      <c r="D12" s="3">
        <f>TotalCashSoftCosts/12</f>
        <v/>
      </c>
      <c r="E12" s="3">
        <f>TotalInKindCosts/18</f>
        <v/>
      </c>
      <c r="F12" s="3" t="n">
        <v>0</v>
      </c>
      <c r="G12" t="n">
        <v>4</v>
      </c>
      <c r="H12" s="3">
        <f>G12*(TotalRevenue/50)*0.50</f>
        <v/>
      </c>
      <c r="I12" s="3">
        <f>H12*0.90</f>
        <v/>
      </c>
      <c r="J12" s="3">
        <f>F12+I12</f>
        <v/>
      </c>
      <c r="K12" s="3">
        <f>J12-C12-D12-E12</f>
        <v/>
      </c>
      <c r="L12" s="3">
        <f>L11+K12</f>
        <v/>
      </c>
      <c r="M12" s="36">
        <f>IF(L12&lt;0,-L12,0)</f>
        <v/>
      </c>
      <c r="N12" s="3">
        <f>M12*Finance_Rate/12</f>
        <v/>
      </c>
      <c r="O12" s="37">
        <f>L12-N12</f>
        <v/>
      </c>
    </row>
    <row r="13">
      <c r="A13" t="n">
        <v>9</v>
      </c>
      <c r="B13" t="inlineStr">
        <is>
          <t>Envelope</t>
        </is>
      </c>
      <c r="C13" s="3">
        <f>TotalHardCosts*0.06</f>
        <v/>
      </c>
      <c r="D13" s="3">
        <f>TotalCashSoftCosts/12</f>
        <v/>
      </c>
      <c r="E13" s="3">
        <f>TotalInKindCosts/18</f>
        <v/>
      </c>
      <c r="F13" s="3" t="n">
        <v>0</v>
      </c>
      <c r="G13" t="n">
        <v>4</v>
      </c>
      <c r="H13" s="3">
        <f>(G13*(TotalRevenue/50)*0.75)+(SUM($G$5:$G$12)*(TotalRevenue/50)*0.25)</f>
        <v/>
      </c>
      <c r="I13" s="3">
        <f>H13*0.90</f>
        <v/>
      </c>
      <c r="J13" s="3">
        <f>F13+I13</f>
        <v/>
      </c>
      <c r="K13" s="3">
        <f>J13-C13-D13-E13</f>
        <v/>
      </c>
      <c r="L13" s="3">
        <f>L12+K13</f>
        <v/>
      </c>
      <c r="M13" s="36">
        <f>IF(L13&lt;0,-L13,0)</f>
        <v/>
      </c>
      <c r="N13" s="3">
        <f>M13*Finance_Rate/12</f>
        <v/>
      </c>
      <c r="O13" s="37">
        <f>L13-N13</f>
        <v/>
      </c>
    </row>
    <row r="14">
      <c r="A14" t="n">
        <v>10</v>
      </c>
      <c r="B14" t="inlineStr">
        <is>
          <t>Envelope</t>
        </is>
      </c>
      <c r="C14" s="3">
        <f>TotalHardCosts*0.06</f>
        <v/>
      </c>
      <c r="D14" s="3">
        <f>TotalCashSoftCosts/12</f>
        <v/>
      </c>
      <c r="E14" s="3">
        <f>TotalInKindCosts/18</f>
        <v/>
      </c>
      <c r="F14" s="3" t="n">
        <v>0</v>
      </c>
      <c r="G14" t="n">
        <v>4</v>
      </c>
      <c r="H14" s="3">
        <f>G14*(TotalRevenue/50)*0.75</f>
        <v/>
      </c>
      <c r="I14" s="3">
        <f>H14*0.90</f>
        <v/>
      </c>
      <c r="J14" s="3">
        <f>F14+I14</f>
        <v/>
      </c>
      <c r="K14" s="3">
        <f>J14-C14-D14-E14</f>
        <v/>
      </c>
      <c r="L14" s="3">
        <f>L13+K14</f>
        <v/>
      </c>
      <c r="M14" s="36">
        <f>IF(L14&lt;0,-L14,0)</f>
        <v/>
      </c>
      <c r="N14" s="3">
        <f>M14*Finance_Rate/12</f>
        <v/>
      </c>
      <c r="O14" s="37">
        <f>L14-N14</f>
        <v/>
      </c>
    </row>
    <row r="15">
      <c r="A15" t="n">
        <v>11</v>
      </c>
      <c r="B15" t="inlineStr">
        <is>
          <t>MEP Rough-In</t>
        </is>
      </c>
      <c r="C15" s="3">
        <f>TotalHardCosts*0.05</f>
        <v/>
      </c>
      <c r="D15" s="3">
        <f>TotalCashSoftCosts/12</f>
        <v/>
      </c>
      <c r="E15" s="3">
        <f>TotalInKindCosts/18</f>
        <v/>
      </c>
      <c r="F15" s="3" t="n">
        <v>0</v>
      </c>
      <c r="G15" t="n">
        <v>3</v>
      </c>
      <c r="H15" s="3">
        <f>G15*(TotalRevenue/50)*0.75</f>
        <v/>
      </c>
      <c r="I15" s="3">
        <f>H15*0.90</f>
        <v/>
      </c>
      <c r="J15" s="3">
        <f>F15+I15</f>
        <v/>
      </c>
      <c r="K15" s="3">
        <f>J15-C15-D15-E15</f>
        <v/>
      </c>
      <c r="L15" s="3">
        <f>L14+K15</f>
        <v/>
      </c>
      <c r="M15" s="36">
        <f>IF(L15&lt;0,-L15,0)</f>
        <v/>
      </c>
      <c r="N15" s="3">
        <f>M15*Finance_Rate/12</f>
        <v/>
      </c>
      <c r="O15" s="37">
        <f>L15-N15</f>
        <v/>
      </c>
    </row>
    <row r="16">
      <c r="A16" t="n">
        <v>12</v>
      </c>
      <c r="B16" t="inlineStr">
        <is>
          <t>MEP Rough-In</t>
        </is>
      </c>
      <c r="C16" s="3">
        <f>TotalHardCosts*0.05</f>
        <v/>
      </c>
      <c r="D16" s="3">
        <f>TotalCashSoftCosts/12</f>
        <v/>
      </c>
      <c r="E16" s="3">
        <f>TotalInKindCosts/18</f>
        <v/>
      </c>
      <c r="F16" s="3" t="n">
        <v>0</v>
      </c>
      <c r="G16" t="n">
        <v>3</v>
      </c>
      <c r="H16" s="3">
        <f>G16*(TotalRevenue/50)*0.75</f>
        <v/>
      </c>
      <c r="I16" s="3">
        <f>H16*0.90</f>
        <v/>
      </c>
      <c r="J16" s="3">
        <f>F16+I16</f>
        <v/>
      </c>
      <c r="K16" s="3">
        <f>J16-C16-D16-E16</f>
        <v/>
      </c>
      <c r="L16" s="3">
        <f>L15+K16</f>
        <v/>
      </c>
      <c r="M16" s="36">
        <f>IF(L16&lt;0,-L16,0)</f>
        <v/>
      </c>
      <c r="N16" s="3">
        <f>M16*Finance_Rate/12</f>
        <v/>
      </c>
      <c r="O16" s="37">
        <f>L16-N16</f>
        <v/>
      </c>
    </row>
    <row r="17">
      <c r="A17" t="n">
        <v>13</v>
      </c>
      <c r="B17" t="inlineStr">
        <is>
          <t>MEP Install</t>
        </is>
      </c>
      <c r="C17" s="3">
        <f>TotalHardCosts*0.04</f>
        <v/>
      </c>
      <c r="D17" s="3" t="n">
        <v>0</v>
      </c>
      <c r="E17" s="3">
        <f>TotalInKindCosts/18</f>
        <v/>
      </c>
      <c r="F17" s="3" t="n">
        <v>0</v>
      </c>
      <c r="G17" t="n">
        <v>2</v>
      </c>
      <c r="H17" s="3">
        <f>G17*(TotalRevenue/50)*0.75</f>
        <v/>
      </c>
      <c r="I17" s="3">
        <f>H17*0.90</f>
        <v/>
      </c>
      <c r="J17" s="3">
        <f>F17+I17</f>
        <v/>
      </c>
      <c r="K17" s="3">
        <f>J17-C17-D17-E17</f>
        <v/>
      </c>
      <c r="L17" s="3">
        <f>L16+K17</f>
        <v/>
      </c>
      <c r="M17" s="36">
        <f>IF(L17&lt;0,-L17,0)</f>
        <v/>
      </c>
      <c r="N17" s="3">
        <f>M17*Finance_Rate/12</f>
        <v/>
      </c>
      <c r="O17" s="37">
        <f>L17-N17</f>
        <v/>
      </c>
    </row>
    <row r="18">
      <c r="A18" t="n">
        <v>14</v>
      </c>
      <c r="B18" t="inlineStr">
        <is>
          <t>MEP Install</t>
        </is>
      </c>
      <c r="C18" s="3">
        <f>TotalHardCosts*0.04</f>
        <v/>
      </c>
      <c r="D18" s="3" t="n">
        <v>0</v>
      </c>
      <c r="E18" s="3">
        <f>TotalInKindCosts/18</f>
        <v/>
      </c>
      <c r="F18" s="3" t="n">
        <v>0</v>
      </c>
      <c r="G18" t="n">
        <v>2</v>
      </c>
      <c r="H18" s="3">
        <f>G18*(TotalRevenue/50)*0.75</f>
        <v/>
      </c>
      <c r="I18" s="3">
        <f>H18*0.90</f>
        <v/>
      </c>
      <c r="J18" s="3">
        <f>F18+I18</f>
        <v/>
      </c>
      <c r="K18" s="3">
        <f>J18-C18-D18-E18</f>
        <v/>
      </c>
      <c r="L18" s="3">
        <f>L17+K18</f>
        <v/>
      </c>
      <c r="M18" s="36">
        <f>IF(L18&lt;0,-L18,0)</f>
        <v/>
      </c>
      <c r="N18" s="3">
        <f>M18*Finance_Rate/12</f>
        <v/>
      </c>
      <c r="O18" s="37">
        <f>L18-N18</f>
        <v/>
      </c>
    </row>
    <row r="19">
      <c r="A19" t="n">
        <v>15</v>
      </c>
      <c r="B19" t="inlineStr">
        <is>
          <t>Interior Framing</t>
        </is>
      </c>
      <c r="C19" s="3">
        <f>TotalHardCosts*0.03</f>
        <v/>
      </c>
      <c r="D19" s="3" t="n">
        <v>0</v>
      </c>
      <c r="E19" s="3">
        <f>TotalInKindCosts/18</f>
        <v/>
      </c>
      <c r="F19" s="3" t="n">
        <v>0</v>
      </c>
      <c r="G19" t="n">
        <v>2</v>
      </c>
      <c r="H19" s="3">
        <f>G19*(TotalRevenue/50)*0.75</f>
        <v/>
      </c>
      <c r="I19" s="3">
        <f>H19*0.90</f>
        <v/>
      </c>
      <c r="J19" s="3">
        <f>F19+I19</f>
        <v/>
      </c>
      <c r="K19" s="3">
        <f>J19-C19-D19-E19</f>
        <v/>
      </c>
      <c r="L19" s="3">
        <f>L18+K19</f>
        <v/>
      </c>
      <c r="M19" s="36">
        <f>IF(L19&lt;0,-L19,0)</f>
        <v/>
      </c>
      <c r="N19" s="3">
        <f>M19*Finance_Rate/12</f>
        <v/>
      </c>
      <c r="O19" s="37">
        <f>L19-N19</f>
        <v/>
      </c>
    </row>
    <row r="20">
      <c r="A20" t="n">
        <v>16</v>
      </c>
      <c r="B20" t="inlineStr">
        <is>
          <t>Interior Framing</t>
        </is>
      </c>
      <c r="C20" s="3">
        <f>TotalHardCosts*0.03</f>
        <v/>
      </c>
      <c r="D20" s="3" t="n">
        <v>0</v>
      </c>
      <c r="E20" s="3">
        <f>TotalInKindCosts/18</f>
        <v/>
      </c>
      <c r="F20" s="3" t="n">
        <v>0</v>
      </c>
      <c r="G20" t="n">
        <v>2</v>
      </c>
      <c r="H20" s="3">
        <f>G20*(TotalRevenue/50)*0.75</f>
        <v/>
      </c>
      <c r="I20" s="3">
        <f>H20*0.90</f>
        <v/>
      </c>
      <c r="J20" s="3">
        <f>F20+I20</f>
        <v/>
      </c>
      <c r="K20" s="3">
        <f>J20-C20-D20-E20</f>
        <v/>
      </c>
      <c r="L20" s="3">
        <f>L19+K20</f>
        <v/>
      </c>
      <c r="M20" s="36">
        <f>IF(L20&lt;0,-L20,0)</f>
        <v/>
      </c>
      <c r="N20" s="3">
        <f>M20*Finance_Rate/12</f>
        <v/>
      </c>
      <c r="O20" s="37">
        <f>L20-N20</f>
        <v/>
      </c>
    </row>
    <row r="21">
      <c r="A21" t="n">
        <v>17</v>
      </c>
      <c r="B21" t="inlineStr">
        <is>
          <t>Finishes</t>
        </is>
      </c>
      <c r="C21" s="3">
        <f>TotalHardCosts*0.03</f>
        <v/>
      </c>
      <c r="D21" s="3" t="n">
        <v>0</v>
      </c>
      <c r="E21" s="3">
        <f>TotalInKindCosts/18</f>
        <v/>
      </c>
      <c r="F21" s="3" t="n">
        <v>0</v>
      </c>
      <c r="G21" t="n">
        <v>1</v>
      </c>
      <c r="H21" s="3">
        <f>G21*(TotalRevenue/50)*0.75</f>
        <v/>
      </c>
      <c r="I21" s="3">
        <f>H21*0.90</f>
        <v/>
      </c>
      <c r="J21" s="3">
        <f>F21+I21</f>
        <v/>
      </c>
      <c r="K21" s="3">
        <f>J21-C21-D21-E21</f>
        <v/>
      </c>
      <c r="L21" s="3">
        <f>L20+K21</f>
        <v/>
      </c>
      <c r="M21" s="36">
        <f>IF(L21&lt;0,-L21,0)</f>
        <v/>
      </c>
      <c r="N21" s="3">
        <f>M21*Finance_Rate/12</f>
        <v/>
      </c>
      <c r="O21" s="37">
        <f>L21-N21</f>
        <v/>
      </c>
    </row>
    <row r="22">
      <c r="A22" t="n">
        <v>18</v>
      </c>
      <c r="B22" t="inlineStr">
        <is>
          <t>Finishes</t>
        </is>
      </c>
      <c r="C22" s="3">
        <f>TotalHardCosts*0.03</f>
        <v/>
      </c>
      <c r="D22" s="3" t="n">
        <v>0</v>
      </c>
      <c r="E22" s="3">
        <f>TotalInKindCosts/18</f>
        <v/>
      </c>
      <c r="F22" s="3" t="n">
        <v>0</v>
      </c>
      <c r="G22" t="n">
        <v>1</v>
      </c>
      <c r="H22" s="3">
        <f>G22*(TotalRevenue/50)*0.75</f>
        <v/>
      </c>
      <c r="I22" s="3">
        <f>H22*0.90</f>
        <v/>
      </c>
      <c r="J22" s="3">
        <f>F22+I22</f>
        <v/>
      </c>
      <c r="K22" s="3">
        <f>J22-C22-D22-E22</f>
        <v/>
      </c>
      <c r="L22" s="3">
        <f>L21+K22</f>
        <v/>
      </c>
      <c r="M22" s="36">
        <f>IF(L22&lt;0,-L22,0)</f>
        <v/>
      </c>
      <c r="N22" s="3">
        <f>M22*Finance_Rate/12</f>
        <v/>
      </c>
      <c r="O22" s="37">
        <f>L22-N22</f>
        <v/>
      </c>
    </row>
    <row r="23">
      <c r="A23" t="n">
        <v>19</v>
      </c>
      <c r="B23" t="inlineStr">
        <is>
          <t>Fixtures</t>
        </is>
      </c>
      <c r="C23" s="3">
        <f>TotalHardCosts*0.02</f>
        <v/>
      </c>
      <c r="D23" s="3" t="n">
        <v>0</v>
      </c>
      <c r="E23" s="3">
        <f>TotalInKindCosts/18</f>
        <v/>
      </c>
      <c r="F23" s="3" t="n">
        <v>0</v>
      </c>
      <c r="G23" t="n">
        <v>1</v>
      </c>
      <c r="H23" s="3">
        <f>G23*(TotalRevenue/50)*0.75</f>
        <v/>
      </c>
      <c r="I23" s="3">
        <f>H23*0.90</f>
        <v/>
      </c>
      <c r="J23" s="3">
        <f>F23+I23</f>
        <v/>
      </c>
      <c r="K23" s="3">
        <f>J23-C23-D23-E23</f>
        <v/>
      </c>
      <c r="L23" s="3">
        <f>L22+K23</f>
        <v/>
      </c>
      <c r="M23" s="36">
        <f>IF(L23&lt;0,-L23,0)</f>
        <v/>
      </c>
      <c r="N23" s="3">
        <f>M23*Finance_Rate/12</f>
        <v/>
      </c>
      <c r="O23" s="37">
        <f>L23-N23</f>
        <v/>
      </c>
    </row>
    <row r="24">
      <c r="A24" t="n">
        <v>20</v>
      </c>
      <c r="B24" t="inlineStr">
        <is>
          <t>Fixtures</t>
        </is>
      </c>
      <c r="C24" s="3">
        <f>TotalHardCosts*0.02</f>
        <v/>
      </c>
      <c r="D24" s="3" t="n">
        <v>0</v>
      </c>
      <c r="E24" s="3">
        <f>TotalInKindCosts/18</f>
        <v/>
      </c>
      <c r="F24" s="3" t="n">
        <v>0</v>
      </c>
      <c r="G24" t="n">
        <v>1</v>
      </c>
      <c r="H24" s="3">
        <f>G24*(TotalRevenue/50)*0.75</f>
        <v/>
      </c>
      <c r="I24" s="3">
        <f>H24*0.90</f>
        <v/>
      </c>
      <c r="J24" s="3">
        <f>F24+I24</f>
        <v/>
      </c>
      <c r="K24" s="3">
        <f>J24-C24-D24-E24</f>
        <v/>
      </c>
      <c r="L24" s="3">
        <f>L23+K24</f>
        <v/>
      </c>
      <c r="M24" s="36">
        <f>IF(L24&lt;0,-L24,0)</f>
        <v/>
      </c>
      <c r="N24" s="3">
        <f>M24*Finance_Rate/12</f>
        <v/>
      </c>
      <c r="O24" s="37">
        <f>L24-N24</f>
        <v/>
      </c>
    </row>
    <row r="25">
      <c r="A25" t="n">
        <v>21</v>
      </c>
      <c r="B25" t="inlineStr">
        <is>
          <t>Closeout</t>
        </is>
      </c>
      <c r="C25" s="3">
        <f>TotalHardCosts*0.02</f>
        <v/>
      </c>
      <c r="D25" s="3" t="n">
        <v>0</v>
      </c>
      <c r="E25" s="3">
        <f>TotalInKindCosts/18</f>
        <v/>
      </c>
      <c r="F25" s="3" t="n">
        <v>0</v>
      </c>
      <c r="G25" t="n">
        <v>1</v>
      </c>
      <c r="H25" s="3">
        <f>(G25*(TotalRevenue/50)*1.00)+(SUM($G$5:$G$24)*(TotalRevenue/50)*0.25)</f>
        <v/>
      </c>
      <c r="I25" s="3">
        <f>H25*0.90</f>
        <v/>
      </c>
      <c r="J25" s="3">
        <f>F25+I25</f>
        <v/>
      </c>
      <c r="K25" s="3">
        <f>J25-C25-D25-E25</f>
        <v/>
      </c>
      <c r="L25" s="3">
        <f>L24+K25</f>
        <v/>
      </c>
      <c r="M25" s="36">
        <f>IF(L25&lt;0,-L25,0)</f>
        <v/>
      </c>
      <c r="N25" s="3">
        <f>M25*Finance_Rate/12</f>
        <v/>
      </c>
      <c r="O25" s="37">
        <f>L25-N25</f>
        <v/>
      </c>
    </row>
    <row r="26">
      <c r="A26" t="n">
        <v>22</v>
      </c>
      <c r="B26" t="inlineStr">
        <is>
          <t>Punch List</t>
        </is>
      </c>
      <c r="C26" s="3">
        <f>TotalHardCosts*0.02</f>
        <v/>
      </c>
      <c r="D26" s="3" t="n">
        <v>0</v>
      </c>
      <c r="E26" s="3">
        <f>TotalInKindCosts/18</f>
        <v/>
      </c>
      <c r="F26" s="3" t="n">
        <v>0</v>
      </c>
      <c r="G26" t="n">
        <v>1</v>
      </c>
      <c r="H26" s="3">
        <f>G26*(TotalRevenue/50)*1.00</f>
        <v/>
      </c>
      <c r="I26" s="3">
        <f>H26*0.90</f>
        <v/>
      </c>
      <c r="J26" s="3">
        <f>F26+I26</f>
        <v/>
      </c>
      <c r="K26" s="3">
        <f>J26-C26-D26-E26</f>
        <v/>
      </c>
      <c r="L26" s="3">
        <f>L25+K26</f>
        <v/>
      </c>
      <c r="M26" s="36">
        <f>IF(L26&lt;0,-L26,0)</f>
        <v/>
      </c>
      <c r="N26" s="3">
        <f>M26*Finance_Rate/12</f>
        <v/>
      </c>
      <c r="O26" s="37">
        <f>L26-N26</f>
        <v/>
      </c>
    </row>
    <row r="27">
      <c r="A27" t="n">
        <v>23</v>
      </c>
      <c r="B27" t="inlineStr">
        <is>
          <t>Final Inspection</t>
        </is>
      </c>
      <c r="C27" s="3">
        <f>TotalHardCosts*0.01</f>
        <v/>
      </c>
      <c r="D27" s="3" t="n">
        <v>0</v>
      </c>
      <c r="E27" s="3">
        <f>TotalInKindCosts/18</f>
        <v/>
      </c>
      <c r="F27" s="3" t="n">
        <v>0</v>
      </c>
      <c r="G27" t="n">
        <v>0</v>
      </c>
      <c r="H27" s="3">
        <f>G27*(TotalRevenue/50)*1.00</f>
        <v/>
      </c>
      <c r="I27" s="3">
        <f>H27*0.90</f>
        <v/>
      </c>
      <c r="J27" s="3">
        <f>F27+I27</f>
        <v/>
      </c>
      <c r="K27" s="3">
        <f>J27-C27-D27-E27</f>
        <v/>
      </c>
      <c r="L27" s="3">
        <f>L26+K27</f>
        <v/>
      </c>
      <c r="M27" s="36">
        <f>IF(L27&lt;0,-L27,0)</f>
        <v/>
      </c>
      <c r="N27" s="3">
        <f>M27*Finance_Rate/12</f>
        <v/>
      </c>
      <c r="O27" s="37">
        <f>L27-N27</f>
        <v/>
      </c>
    </row>
    <row r="28">
      <c r="A28" t="n">
        <v>24</v>
      </c>
      <c r="B28" t="inlineStr">
        <is>
          <t>CO &amp; Turnover</t>
        </is>
      </c>
      <c r="C28" s="3">
        <f>TotalHardCosts*0.01</f>
        <v/>
      </c>
      <c r="D28" s="3" t="n">
        <v>0</v>
      </c>
      <c r="E28" s="3">
        <f>TotalInKindCosts/18</f>
        <v/>
      </c>
      <c r="F28" s="3" t="n">
        <v>0</v>
      </c>
      <c r="G28" t="n">
        <v>0</v>
      </c>
      <c r="H28" s="3">
        <f>G28*(TotalRevenue/50)*1.00</f>
        <v/>
      </c>
      <c r="I28" s="3">
        <f>H28+(SUM($H$5:$H$27)*0.10)</f>
        <v/>
      </c>
      <c r="J28" s="3">
        <f>F28+I28</f>
        <v/>
      </c>
      <c r="K28" s="3">
        <f>J28-C28-D28-E28</f>
        <v/>
      </c>
      <c r="L28" s="3">
        <f>L27+K28</f>
        <v/>
      </c>
      <c r="M28" s="36">
        <f>IF(L28&lt;0,-L28,0)</f>
        <v/>
      </c>
      <c r="N28" s="3">
        <f>M28*Finance_Rate/12</f>
        <v/>
      </c>
      <c r="O28" s="37">
        <f>L28-N28</f>
        <v/>
      </c>
    </row>
    <row r="30">
      <c r="A30" s="5" t="inlineStr">
        <is>
          <t>TOTALS:</t>
        </is>
      </c>
      <c r="C30" s="7">
        <f>SUM(C5:C28)</f>
        <v/>
      </c>
      <c r="D30" s="7">
        <f>SUM(D5:D28)</f>
        <v/>
      </c>
      <c r="E30" s="7">
        <f>SUM(E5:E28)</f>
        <v/>
      </c>
      <c r="F30" s="7">
        <f>SUM(F5:F28)</f>
        <v/>
      </c>
      <c r="G30" s="17">
        <f>SUM(G5:G28)</f>
        <v/>
      </c>
      <c r="H30" s="7">
        <f>SUM(H5:H28)</f>
        <v/>
      </c>
      <c r="I30" s="7">
        <f>SUM(I5:I28)</f>
        <v/>
      </c>
      <c r="J30" s="7">
        <f>SUM(J5:J28)</f>
        <v/>
      </c>
      <c r="K30" s="7">
        <f>SUM(K5:K28)</f>
        <v/>
      </c>
      <c r="N30" s="7">
        <f>SUM(N5:N28)</f>
        <v/>
      </c>
    </row>
    <row r="32">
      <c r="A32" s="38" t="inlineStr">
        <is>
          <t>MAX BRIDGE LOAN NEEDED:</t>
        </is>
      </c>
      <c r="B32" s="39">
        <f>MAX(M5:M28)</f>
        <v/>
      </c>
    </row>
    <row r="33">
      <c r="A33" s="38" t="inlineStr">
        <is>
          <t>TOTAL FINANCING COSTS (9% Interest):</t>
        </is>
      </c>
      <c r="B33" s="39">
        <f>N30</f>
        <v/>
      </c>
    </row>
    <row r="35">
      <c r="A35" s="40" t="inlineStr">
        <is>
          <t>TIE-OUT: FINAL CUMULATIVE = GROSS PROFIT</t>
        </is>
      </c>
      <c r="B35" t="inlineStr">
        <is>
          <t>Final Cumulative (Month 24) =</t>
        </is>
      </c>
      <c r="C35" s="7">
        <f>O28</f>
        <v/>
      </c>
      <c r="D35" t="inlineStr">
        <is>
          <t>Gross Profit (Summary) =</t>
        </is>
      </c>
      <c r="E35" s="7">
        <f>GrossProfit</f>
        <v/>
      </c>
      <c r="F35" t="inlineStr">
        <is>
          <t>Difference =</t>
        </is>
      </c>
      <c r="G35" s="7">
        <f>C35-E35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20" customWidth="1" min="3" max="3"/>
    <col width="13" customWidth="1" min="4" max="4"/>
    <col width="17" customWidth="1" min="5" max="5"/>
    <col width="19" customWidth="1" min="6" max="6"/>
    <col width="34" customWidth="1" min="7" max="7"/>
    <col width="10" customWidth="1" min="8" max="8"/>
  </cols>
  <sheetData>
    <row r="1">
      <c r="A1" s="10" t="inlineStr">
        <is>
          <t>GENERAL CONTRACTOR - REQUEST FOR QUOTE SUMMARY</t>
        </is>
      </c>
    </row>
    <row r="2">
      <c r="A2" t="inlineStr">
        <is>
          <t>NEVO Tower - 1580 79th St Causeway, North Bay Village, FL</t>
        </is>
      </c>
    </row>
    <row r="3">
      <c r="A3" t="inlineStr">
        <is>
          <t>Total Project: 108,675 GSF | 7 Stories + Rooftop | 50 Residential Units</t>
        </is>
      </c>
    </row>
    <row r="5">
      <c r="A5" s="18" t="inlineStr">
        <is>
          <t>CSI DIVISION BREAKDOWN - MATERIALS, LABOR &amp; WORKFORCE</t>
        </is>
      </c>
    </row>
    <row r="6">
      <c r="A6" s="18" t="inlineStr">
        <is>
          <t>CSI</t>
        </is>
      </c>
      <c r="B6" s="18" t="inlineStr">
        <is>
          <t>Description</t>
        </is>
      </c>
      <c r="C6" s="18" t="inlineStr">
        <is>
          <t>Total Cost</t>
        </is>
      </c>
      <c r="D6" s="18" t="inlineStr">
        <is>
          <t>Materials %</t>
        </is>
      </c>
      <c r="E6" s="18" t="inlineStr">
        <is>
          <t>Labor %</t>
        </is>
      </c>
      <c r="F6" s="18" t="inlineStr">
        <is>
          <t>Man-Hours</t>
        </is>
      </c>
      <c r="G6" s="18" t="inlineStr">
        <is>
          <t>Worker Type</t>
        </is>
      </c>
      <c r="H6" s="18" t="inlineStr">
        <is>
          <t>Crew Size</t>
        </is>
      </c>
    </row>
    <row r="7">
      <c r="A7" t="inlineStr">
        <is>
          <t>01</t>
        </is>
      </c>
      <c r="B7" t="inlineStr">
        <is>
          <t>General Requirements</t>
        </is>
      </c>
      <c r="C7" s="3">
        <f>10.53*108675</f>
        <v/>
      </c>
      <c r="D7" s="41" t="n">
        <v>0.4</v>
      </c>
      <c r="E7" s="41" t="n">
        <v>0.6</v>
      </c>
      <c r="F7" s="12" t="n">
        <v>15257</v>
      </c>
      <c r="G7" t="inlineStr">
        <is>
          <t>Project Management/Supervisors</t>
        </is>
      </c>
      <c r="H7" t="inlineStr">
        <is>
          <t>5-8</t>
        </is>
      </c>
    </row>
    <row r="8">
      <c r="A8" t="inlineStr">
        <is>
          <t>02</t>
        </is>
      </c>
      <c r="B8" t="inlineStr">
        <is>
          <t>Site Work &amp; Demolition</t>
        </is>
      </c>
      <c r="C8" s="3">
        <f>4.56*108675</f>
        <v/>
      </c>
      <c r="D8" s="41" t="n">
        <v>0.3</v>
      </c>
      <c r="E8" s="41" t="n">
        <v>0.7</v>
      </c>
      <c r="F8" s="12" t="n">
        <v>7708</v>
      </c>
      <c r="G8" t="inlineStr">
        <is>
          <t>Laborers/Equipment Operators</t>
        </is>
      </c>
      <c r="H8" t="inlineStr">
        <is>
          <t>6-10</t>
        </is>
      </c>
    </row>
    <row r="9">
      <c r="A9" t="inlineStr">
        <is>
          <t>03</t>
        </is>
      </c>
      <c r="B9" t="inlineStr">
        <is>
          <t>Concrete - PT Structure</t>
        </is>
      </c>
      <c r="C9" s="3">
        <f>39.47*108675</f>
        <v/>
      </c>
      <c r="D9" s="41" t="n">
        <v>0.45</v>
      </c>
      <c r="E9" s="41" t="n">
        <v>0.55</v>
      </c>
      <c r="F9" s="12" t="n">
        <v>52426</v>
      </c>
      <c r="G9" t="inlineStr">
        <is>
          <t>Concrete Workers/Ironworkers</t>
        </is>
      </c>
      <c r="H9" t="inlineStr">
        <is>
          <t>15-25</t>
        </is>
      </c>
    </row>
    <row r="10">
      <c r="A10" t="inlineStr">
        <is>
          <t>04</t>
        </is>
      </c>
      <c r="B10" t="inlineStr">
        <is>
          <t>Masonry</t>
        </is>
      </c>
      <c r="C10" s="3">
        <f>2.46*108675</f>
        <v/>
      </c>
      <c r="D10" s="41" t="n">
        <v>0.5</v>
      </c>
      <c r="E10" s="41" t="n">
        <v>0.5</v>
      </c>
      <c r="F10" s="12" t="n">
        <v>2970</v>
      </c>
      <c r="G10" t="inlineStr">
        <is>
          <t>Masons/Laborers</t>
        </is>
      </c>
      <c r="H10" t="inlineStr">
        <is>
          <t>4-6</t>
        </is>
      </c>
    </row>
    <row r="11">
      <c r="A11" t="inlineStr">
        <is>
          <t>05</t>
        </is>
      </c>
      <c r="B11" t="inlineStr">
        <is>
          <t>Metals &amp; Structural Steel</t>
        </is>
      </c>
      <c r="C11" s="3">
        <f>7.45*108675</f>
        <v/>
      </c>
      <c r="D11" s="41" t="n">
        <v>0.65</v>
      </c>
      <c r="E11" s="41" t="n">
        <v>0.35</v>
      </c>
      <c r="F11" s="12" t="n">
        <v>6297</v>
      </c>
      <c r="G11" t="inlineStr">
        <is>
          <t>Ironworkers/Welders</t>
        </is>
      </c>
      <c r="H11" t="inlineStr">
        <is>
          <t>6-10</t>
        </is>
      </c>
    </row>
    <row r="12">
      <c r="A12" t="inlineStr">
        <is>
          <t>06</t>
        </is>
      </c>
      <c r="B12" t="inlineStr">
        <is>
          <t>Wood &amp; Plastics</t>
        </is>
      </c>
      <c r="C12" s="3">
        <f>2.81*108675</f>
        <v/>
      </c>
      <c r="D12" s="41" t="n">
        <v>0.55</v>
      </c>
      <c r="E12" s="41" t="n">
        <v>0.45</v>
      </c>
      <c r="F12" s="12" t="n">
        <v>3053</v>
      </c>
      <c r="G12" t="inlineStr">
        <is>
          <t>Carpenters</t>
        </is>
      </c>
      <c r="H12" t="inlineStr">
        <is>
          <t>4-6</t>
        </is>
      </c>
    </row>
    <row r="13">
      <c r="A13" t="inlineStr">
        <is>
          <t>07</t>
        </is>
      </c>
      <c r="B13" t="inlineStr">
        <is>
          <t>Waterproofing &amp; Roofing</t>
        </is>
      </c>
      <c r="C13" s="3">
        <f>19.3*108675</f>
        <v/>
      </c>
      <c r="D13" s="41" t="n">
        <v>0.4</v>
      </c>
      <c r="E13" s="41" t="n">
        <v>0.6</v>
      </c>
      <c r="F13" s="12" t="n">
        <v>27965</v>
      </c>
      <c r="G13" t="inlineStr">
        <is>
          <t>Roofers/Waterproofing Specialists</t>
        </is>
      </c>
      <c r="H13" t="inlineStr">
        <is>
          <t>6-10</t>
        </is>
      </c>
    </row>
    <row r="14">
      <c r="A14" t="inlineStr">
        <is>
          <t>08</t>
        </is>
      </c>
      <c r="B14" t="inlineStr">
        <is>
          <t>Doors, Windows &amp; HVHZ Glazing</t>
        </is>
      </c>
      <c r="C14" s="3">
        <f>24.55*108675</f>
        <v/>
      </c>
      <c r="D14" s="41" t="n">
        <v>0.7</v>
      </c>
      <c r="E14" s="41" t="n">
        <v>0.3</v>
      </c>
      <c r="F14" s="12" t="n">
        <v>17786</v>
      </c>
      <c r="G14" t="inlineStr">
        <is>
          <t>Glaziers/Installation Specialists</t>
        </is>
      </c>
      <c r="H14" t="inlineStr">
        <is>
          <t>8-12</t>
        </is>
      </c>
    </row>
    <row r="15">
      <c r="A15" t="inlineStr">
        <is>
          <t>09</t>
        </is>
      </c>
      <c r="B15" t="inlineStr">
        <is>
          <t>Interior Finishes</t>
        </is>
      </c>
      <c r="C15" s="3">
        <f>36.83*108675</f>
        <v/>
      </c>
      <c r="D15" s="41" t="n">
        <v>0.45</v>
      </c>
      <c r="E15" s="41" t="n">
        <v>0.55</v>
      </c>
      <c r="F15" s="12" t="n">
        <v>48919</v>
      </c>
      <c r="G15" t="inlineStr">
        <is>
          <t>Carpenters/Painters/Drywall</t>
        </is>
      </c>
      <c r="H15" t="inlineStr">
        <is>
          <t>20-30</t>
        </is>
      </c>
    </row>
    <row r="16">
      <c r="A16" t="inlineStr">
        <is>
          <t>10</t>
        </is>
      </c>
      <c r="B16" t="inlineStr">
        <is>
          <t>Specialties</t>
        </is>
      </c>
      <c r="C16" s="3">
        <f>3.95*108675</f>
        <v/>
      </c>
      <c r="D16" s="41" t="n">
        <v>0.75</v>
      </c>
      <c r="E16" s="41" t="n">
        <v>0.25</v>
      </c>
      <c r="F16" s="12" t="n">
        <v>2384</v>
      </c>
      <c r="G16" t="inlineStr">
        <is>
          <t>Specialty Installers</t>
        </is>
      </c>
      <c r="H16" t="inlineStr">
        <is>
          <t>2-4</t>
        </is>
      </c>
    </row>
    <row r="17">
      <c r="A17" t="inlineStr">
        <is>
          <t>11</t>
        </is>
      </c>
      <c r="B17" t="inlineStr">
        <is>
          <t>Equipment</t>
        </is>
      </c>
      <c r="C17" s="3">
        <f>3.33*108675</f>
        <v/>
      </c>
      <c r="D17" s="41" t="n">
        <v>0.8</v>
      </c>
      <c r="E17" s="41" t="n">
        <v>0.2</v>
      </c>
      <c r="F17" s="12" t="n">
        <v>1608</v>
      </c>
      <c r="G17" t="inlineStr">
        <is>
          <t>Equipment Installers</t>
        </is>
      </c>
      <c r="H17" t="inlineStr">
        <is>
          <t>2-4</t>
        </is>
      </c>
    </row>
    <row r="18">
      <c r="A18" t="inlineStr">
        <is>
          <t>12</t>
        </is>
      </c>
      <c r="B18" t="inlineStr">
        <is>
          <t>Furnishings</t>
        </is>
      </c>
      <c r="C18" s="3">
        <f>1.05*108675</f>
        <v/>
      </c>
      <c r="D18" s="41" t="n">
        <v>0.85</v>
      </c>
      <c r="E18" s="41" t="n">
        <v>0.15</v>
      </c>
      <c r="F18" s="12" t="n">
        <v>380</v>
      </c>
      <c r="G18" t="inlineStr">
        <is>
          <t>Installers</t>
        </is>
      </c>
      <c r="H18" t="inlineStr">
        <is>
          <t>2-3</t>
        </is>
      </c>
    </row>
    <row r="19">
      <c r="A19" t="inlineStr">
        <is>
          <t>13</t>
        </is>
      </c>
      <c r="B19" t="inlineStr">
        <is>
          <t>Special Construction</t>
        </is>
      </c>
      <c r="C19" s="3">
        <f>1.58*108675</f>
        <v/>
      </c>
      <c r="D19" s="41" t="n">
        <v>0.6</v>
      </c>
      <c r="E19" s="41" t="n">
        <v>0.4</v>
      </c>
      <c r="F19" s="12" t="n">
        <v>1526</v>
      </c>
      <c r="G19" t="inlineStr">
        <is>
          <t>Specialty Contractors</t>
        </is>
      </c>
      <c r="H19" t="inlineStr">
        <is>
          <t>3-5</t>
        </is>
      </c>
    </row>
    <row r="20">
      <c r="A20" t="inlineStr">
        <is>
          <t>14</t>
        </is>
      </c>
      <c r="B20" t="inlineStr">
        <is>
          <t>Elevators</t>
        </is>
      </c>
      <c r="C20" s="3">
        <f>3.1*108675</f>
        <v/>
      </c>
      <c r="D20" s="41" t="n">
        <v>0.75</v>
      </c>
      <c r="E20" s="41" t="n">
        <v>0.25</v>
      </c>
      <c r="F20" s="12" t="n">
        <v>1871</v>
      </c>
      <c r="G20" t="inlineStr">
        <is>
          <t>Elevator Mechanics/Technicians</t>
        </is>
      </c>
      <c r="H20" t="inlineStr">
        <is>
          <t>4-6</t>
        </is>
      </c>
    </row>
    <row r="21">
      <c r="A21" t="inlineStr">
        <is>
          <t>21</t>
        </is>
      </c>
      <c r="B21" t="inlineStr">
        <is>
          <t>Fire Suppression</t>
        </is>
      </c>
      <c r="C21" s="3">
        <f>6.58*108675</f>
        <v/>
      </c>
      <c r="D21" s="41" t="n">
        <v>0.5</v>
      </c>
      <c r="E21" s="41" t="n">
        <v>0.5</v>
      </c>
      <c r="F21" s="12" t="n">
        <v>7945</v>
      </c>
      <c r="G21" t="inlineStr">
        <is>
          <t>Pipefitters/Sprinkler Fitters</t>
        </is>
      </c>
      <c r="H21" t="inlineStr">
        <is>
          <t>4-6</t>
        </is>
      </c>
    </row>
    <row r="22">
      <c r="A22" t="inlineStr">
        <is>
          <t>22</t>
        </is>
      </c>
      <c r="B22" t="inlineStr">
        <is>
          <t>Plumbing</t>
        </is>
      </c>
      <c r="C22" s="3">
        <f>8.77*108675</f>
        <v/>
      </c>
      <c r="D22" s="41" t="n">
        <v>0.45</v>
      </c>
      <c r="E22" s="41" t="n">
        <v>0.55</v>
      </c>
      <c r="F22" s="12" t="n">
        <v>11648</v>
      </c>
      <c r="G22" t="inlineStr">
        <is>
          <t>Plumbers/Pipefitters</t>
        </is>
      </c>
      <c r="H22" t="inlineStr">
        <is>
          <t>6-10</t>
        </is>
      </c>
    </row>
    <row r="23">
      <c r="A23" t="inlineStr">
        <is>
          <t>23</t>
        </is>
      </c>
      <c r="B23" t="inlineStr">
        <is>
          <t>HVAC</t>
        </is>
      </c>
      <c r="C23" s="3">
        <f>13.15*108675</f>
        <v/>
      </c>
      <c r="D23" s="41" t="n">
        <v>0.5</v>
      </c>
      <c r="E23" s="41" t="n">
        <v>0.5</v>
      </c>
      <c r="F23" s="12" t="n">
        <v>15878</v>
      </c>
      <c r="G23" t="inlineStr">
        <is>
          <t>HVAC Technicians/Sheet Metal</t>
        </is>
      </c>
      <c r="H23" t="inlineStr">
        <is>
          <t>8-12</t>
        </is>
      </c>
    </row>
    <row r="24">
      <c r="A24" t="inlineStr">
        <is>
          <t>26</t>
        </is>
      </c>
      <c r="B24" t="inlineStr">
        <is>
          <t>Electrical</t>
        </is>
      </c>
      <c r="C24" s="3">
        <f>13.15*108675</f>
        <v/>
      </c>
      <c r="D24" s="41" t="n">
        <v>0.4</v>
      </c>
      <c r="E24" s="41" t="n">
        <v>0.6</v>
      </c>
      <c r="F24" s="12" t="n">
        <v>19054</v>
      </c>
      <c r="G24" t="inlineStr">
        <is>
          <t>Electricians/Low Voltage Tech</t>
        </is>
      </c>
      <c r="H24" t="inlineStr">
        <is>
          <t>10-15</t>
        </is>
      </c>
    </row>
    <row r="25">
      <c r="A25" t="inlineStr">
        <is>
          <t>27</t>
        </is>
      </c>
      <c r="B25" t="inlineStr">
        <is>
          <t>Communications &amp; Data</t>
        </is>
      </c>
      <c r="C25" s="3">
        <f>1.75*108675</f>
        <v/>
      </c>
      <c r="D25" s="41" t="n">
        <v>0.6</v>
      </c>
      <c r="E25" s="41" t="n">
        <v>0.4</v>
      </c>
      <c r="F25" s="12" t="n">
        <v>1690</v>
      </c>
      <c r="G25" t="inlineStr">
        <is>
          <t>Low Voltage Technicians</t>
        </is>
      </c>
      <c r="H25" t="inlineStr">
        <is>
          <t>3-5</t>
        </is>
      </c>
    </row>
    <row r="26">
      <c r="A26" t="inlineStr">
        <is>
          <t>28</t>
        </is>
      </c>
      <c r="B26" t="inlineStr">
        <is>
          <t>Security &amp; Fire Alarm</t>
        </is>
      </c>
      <c r="C26" s="3">
        <f>1.75*108675</f>
        <v/>
      </c>
      <c r="D26" s="41" t="n">
        <v>0.65</v>
      </c>
      <c r="E26" s="41" t="n">
        <v>0.35</v>
      </c>
      <c r="F26" s="12" t="n">
        <v>1479</v>
      </c>
      <c r="G26" t="inlineStr">
        <is>
          <t>Security/Fire Alarm Techs</t>
        </is>
      </c>
      <c r="H26" t="inlineStr">
        <is>
          <t>3-4</t>
        </is>
      </c>
    </row>
    <row r="27">
      <c r="A27" t="inlineStr">
        <is>
          <t>31</t>
        </is>
      </c>
      <c r="B27" t="inlineStr">
        <is>
          <t>Earthwork</t>
        </is>
      </c>
      <c r="C27" s="3">
        <f>3.68*108675</f>
        <v/>
      </c>
      <c r="D27" s="41" t="n">
        <v>0.25</v>
      </c>
      <c r="E27" s="41" t="n">
        <v>0.75</v>
      </c>
      <c r="F27" s="12" t="n">
        <v>6665</v>
      </c>
      <c r="G27" t="inlineStr">
        <is>
          <t>Equipment Operators/Laborers</t>
        </is>
      </c>
      <c r="H27" t="inlineStr">
        <is>
          <t>6-8</t>
        </is>
      </c>
    </row>
    <row r="28">
      <c r="A28" t="inlineStr">
        <is>
          <t>32</t>
        </is>
      </c>
      <c r="B28" t="inlineStr">
        <is>
          <t>Exterior Improvements</t>
        </is>
      </c>
      <c r="C28" s="3">
        <f>3.51*108675</f>
        <v/>
      </c>
      <c r="D28" s="41" t="n">
        <v>0.5</v>
      </c>
      <c r="E28" s="41" t="n">
        <v>0.5</v>
      </c>
      <c r="F28" s="12" t="n">
        <v>4238</v>
      </c>
      <c r="G28" t="inlineStr">
        <is>
          <t>Landscapers/Pavers/Masons</t>
        </is>
      </c>
      <c r="H28" t="inlineStr">
        <is>
          <t>6-10</t>
        </is>
      </c>
    </row>
    <row r="29">
      <c r="A29" t="inlineStr">
        <is>
          <t>33</t>
        </is>
      </c>
      <c r="B29" t="inlineStr">
        <is>
          <t>Utilities</t>
        </is>
      </c>
      <c r="C29" s="3">
        <f>2.81*108675</f>
        <v/>
      </c>
      <c r="D29" s="41" t="n">
        <v>0.55</v>
      </c>
      <c r="E29" s="41" t="n">
        <v>0.45</v>
      </c>
      <c r="F29" s="12" t="n">
        <v>3053</v>
      </c>
      <c r="G29" t="inlineStr">
        <is>
          <t>Utility Workers/Excavators</t>
        </is>
      </c>
      <c r="H29" t="inlineStr">
        <is>
          <t>4-6</t>
        </is>
      </c>
    </row>
    <row r="30">
      <c r="B30" s="17" t="inlineStr">
        <is>
          <t>SUBTOTAL - Direct Costs</t>
        </is>
      </c>
      <c r="C30" s="20">
        <f>SUM(C7:C29)</f>
        <v/>
      </c>
      <c r="F30" s="42">
        <f>SUM(F7:F29)</f>
        <v/>
      </c>
    </row>
    <row r="32">
      <c r="B32" t="inlineStr">
        <is>
          <t>General Conditions (9%)</t>
        </is>
      </c>
      <c r="C32" s="3">
        <f>C30*GC_GC</f>
        <v/>
      </c>
      <c r="F32" s="12" t="n">
        <v>13090</v>
      </c>
      <c r="G32" t="inlineStr">
        <is>
          <t>Project Manager/Super/Admin</t>
        </is>
      </c>
    </row>
    <row r="33">
      <c r="B33" t="inlineStr">
        <is>
          <t>Overhead &amp; Profit (10%)</t>
        </is>
      </c>
      <c r="C33" s="3">
        <f>(C30+C32)*GC_OHP</f>
        <v/>
      </c>
    </row>
    <row r="34">
      <c r="B34" t="inlineStr">
        <is>
          <t>Contingencies (16%)</t>
        </is>
      </c>
      <c r="C34" s="3">
        <f>(C30+C32+C33)*0.16</f>
        <v/>
      </c>
    </row>
    <row r="36">
      <c r="B36" s="5" t="inlineStr">
        <is>
          <t>TOTAL HARD COSTS</t>
        </is>
      </c>
      <c r="C36" s="6">
        <f>TotalHardCosts</f>
        <v/>
      </c>
      <c r="F36" s="43">
        <f>F30+F32</f>
        <v/>
      </c>
    </row>
    <row r="39">
      <c r="A39" s="18" t="inlineStr">
        <is>
          <t>WORKFORCE SUMMARY</t>
        </is>
      </c>
    </row>
    <row r="40">
      <c r="A40" s="18" t="inlineStr">
        <is>
          <t>Category</t>
        </is>
      </c>
      <c r="B40" s="18" t="inlineStr">
        <is>
          <t>Worker Types</t>
        </is>
      </c>
      <c r="C40" s="18" t="inlineStr">
        <is>
          <t>Est. Man-Hours</t>
        </is>
      </c>
      <c r="D40" s="18" t="inlineStr">
        <is>
          <t>Avg Rate/Hr</t>
        </is>
      </c>
      <c r="E40" s="18" t="inlineStr">
        <is>
          <t>Total Labor Cost</t>
        </is>
      </c>
      <c r="F40" s="18" t="inlineStr">
        <is>
          <t>Peak Workers</t>
        </is>
      </c>
      <c r="G40" s="18" t="inlineStr">
        <is>
          <t>Duration</t>
        </is>
      </c>
    </row>
    <row r="41">
      <c r="A41" t="inlineStr">
        <is>
          <t>Skilled Trades</t>
        </is>
      </c>
      <c r="B41" t="inlineStr">
        <is>
          <t>Concrete, Ironworkers, Electricians, Plumbers, HVAC</t>
        </is>
      </c>
      <c r="C41" s="12" t="n">
        <v>130900</v>
      </c>
      <c r="D41" s="3" t="n">
        <v>55</v>
      </c>
      <c r="E41" s="3">
        <f>C41*D41</f>
        <v/>
      </c>
      <c r="F41">
        <f>INT(C41/2000*1.5)</f>
        <v/>
      </c>
      <c r="G41" t="inlineStr">
        <is>
          <t>18-24 months</t>
        </is>
      </c>
    </row>
    <row r="42">
      <c r="A42" t="inlineStr">
        <is>
          <t>Semi-Skilled</t>
        </is>
      </c>
      <c r="B42" t="inlineStr">
        <is>
          <t>Carpenters, Masons, Painters, Drywall</t>
        </is>
      </c>
      <c r="C42" s="12" t="n">
        <v>65450</v>
      </c>
      <c r="D42" s="3" t="n">
        <v>40</v>
      </c>
      <c r="E42" s="3">
        <f>C42*D42</f>
        <v/>
      </c>
      <c r="F42">
        <f>INT(C42/2000*1.5)</f>
        <v/>
      </c>
      <c r="G42" t="inlineStr">
        <is>
          <t>12-20 months</t>
        </is>
      </c>
    </row>
    <row r="43">
      <c r="A43" t="inlineStr">
        <is>
          <t>Laborers</t>
        </is>
      </c>
      <c r="B43" t="inlineStr">
        <is>
          <t>General Labor, Site Work, Material Handling</t>
        </is>
      </c>
      <c r="C43" s="12" t="n">
        <v>39270</v>
      </c>
      <c r="D43" s="3" t="n">
        <v>30</v>
      </c>
      <c r="E43" s="3">
        <f>C43*D43</f>
        <v/>
      </c>
      <c r="F43">
        <f>INT(C43/2000*1.5)</f>
        <v/>
      </c>
      <c r="G43" t="inlineStr">
        <is>
          <t>1-24 months</t>
        </is>
      </c>
    </row>
    <row r="44">
      <c r="A44" t="inlineStr">
        <is>
          <t>Specialists</t>
        </is>
      </c>
      <c r="B44" t="inlineStr">
        <is>
          <t>Glaziers, Waterproofing, Elevator Techs</t>
        </is>
      </c>
      <c r="C44" s="12" t="n">
        <v>20944</v>
      </c>
      <c r="D44" s="3" t="n">
        <v>60</v>
      </c>
      <c r="E44" s="3">
        <f>C44*D44</f>
        <v/>
      </c>
      <c r="F44">
        <f>INT(C44/2000*1.5)</f>
        <v/>
      </c>
      <c r="G44" t="inlineStr">
        <is>
          <t>8-18 months</t>
        </is>
      </c>
    </row>
    <row r="45">
      <c r="A45" t="inlineStr">
        <is>
          <t>Management/Super</t>
        </is>
      </c>
      <c r="B45" t="inlineStr">
        <is>
          <t>PM, Superintendent, Foremen, Admin</t>
        </is>
      </c>
      <c r="C45" s="12" t="n">
        <v>5236</v>
      </c>
      <c r="D45" s="3" t="n">
        <v>75</v>
      </c>
      <c r="E45" s="3">
        <f>C45*D45</f>
        <v/>
      </c>
      <c r="F45">
        <f>INT(C45/2000*1.5)</f>
        <v/>
      </c>
      <c r="G45" t="inlineStr">
        <is>
          <t>1-24 months</t>
        </is>
      </c>
    </row>
    <row r="47">
      <c r="A47" s="17" t="inlineStr">
        <is>
          <t>TOTAL WORKFORCE</t>
        </is>
      </c>
      <c r="C47" s="44">
        <f>SUM(C41:C45)</f>
        <v/>
      </c>
      <c r="E47" s="7">
        <f>SUM(E41:E45)</f>
        <v/>
      </c>
      <c r="F47" s="17">
        <f>SUM(F41:F45)</f>
        <v/>
      </c>
    </row>
  </sheetData>
  <mergeCells count="5">
    <mergeCell ref="A1:H1"/>
    <mergeCell ref="A3:H3"/>
    <mergeCell ref="A39:H39"/>
    <mergeCell ref="A2:H2"/>
    <mergeCell ref="A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9" customWidth="1" min="1" max="1"/>
    <col width="44" customWidth="1" min="2" max="2"/>
  </cols>
  <sheetData>
    <row r="1">
      <c r="A1" s="10" t="inlineStr">
        <is>
          <t>HOW TO KEEP THIS WORKBOOK IN SYNC</t>
        </is>
      </c>
    </row>
    <row r="3">
      <c r="A3" t="inlineStr">
        <is>
          <t>YELLOW CELLS = EDITABLE</t>
        </is>
      </c>
      <c r="B3" t="inlineStr">
        <is>
          <t>You can change these values</t>
        </is>
      </c>
    </row>
    <row r="5">
      <c r="A5" t="inlineStr">
        <is>
          <t>When you edit a yellow cell:</t>
        </is>
      </c>
      <c r="B5" t="inlineStr">
        <is>
          <t>All formulas update automatically</t>
        </is>
      </c>
    </row>
    <row r="7">
      <c r="A7" t="inlineStr">
        <is>
          <t>Named Ranges:</t>
        </is>
      </c>
      <c r="B7" t="inlineStr">
        <is>
          <t>Connect sheets together</t>
        </is>
      </c>
    </row>
    <row r="8">
      <c r="A8" t="inlineStr">
        <is>
          <t>Example:</t>
        </is>
      </c>
      <c r="B8" t="inlineStr">
        <is>
          <t>TotalHardCosts pulls from Hard Costs sheet</t>
        </is>
      </c>
    </row>
    <row r="10">
      <c r="A10" t="inlineStr">
        <is>
          <t>To regenerate this file:</t>
        </is>
      </c>
      <c r="B10" t="inlineStr">
        <is>
          <t>Run scripts/make_interactive_workbook_v3.py</t>
        </is>
      </c>
    </row>
    <row r="12">
      <c r="A12" s="17" t="inlineStr">
        <is>
          <t>ALL 11 CORRECTIONS APPLIED:</t>
        </is>
      </c>
    </row>
    <row r="13">
      <c r="A13" t="inlineStr">
        <is>
          <t>1. Summary - % in column C</t>
        </is>
      </c>
      <c r="B13" s="45" t="inlineStr">
        <is>
          <t>✓</t>
        </is>
      </c>
    </row>
    <row r="14">
      <c r="A14" t="inlineStr">
        <is>
          <t>2. Assumptions - % in columns C &amp; D</t>
        </is>
      </c>
      <c r="B14" s="45" t="inlineStr">
        <is>
          <t>✓</t>
        </is>
      </c>
    </row>
    <row r="15">
      <c r="A15" t="inlineStr">
        <is>
          <t>3. Soft costs = 12% of project cost</t>
        </is>
      </c>
      <c r="B15" s="45" t="inlineStr">
        <is>
          <t>✓</t>
        </is>
      </c>
    </row>
    <row r="16">
      <c r="A16" t="inlineStr">
        <is>
          <t>4. All formulas use named ranges</t>
        </is>
      </c>
      <c r="B16" s="45" t="inlineStr">
        <is>
          <t>✓</t>
        </is>
      </c>
    </row>
    <row r="17">
      <c r="A17" t="inlineStr">
        <is>
          <t>5. Cash flow with formulas &amp; 50 units</t>
        </is>
      </c>
      <c r="B17" s="45" t="inlineStr">
        <is>
          <t>✓</t>
        </is>
      </c>
    </row>
    <row r="18">
      <c r="A18" t="inlineStr">
        <is>
          <t>6. SC Cash OUT label corrected</t>
        </is>
      </c>
      <c r="B18" s="45" t="inlineStr">
        <is>
          <t>✓</t>
        </is>
      </c>
    </row>
    <row r="19">
      <c r="A19" t="inlineStr">
        <is>
          <t>7. Auto-fit columns</t>
        </is>
      </c>
      <c r="B19" s="45" t="inlineStr">
        <is>
          <t>✓</t>
        </is>
      </c>
    </row>
    <row r="20">
      <c r="A20" t="inlineStr">
        <is>
          <t>8. SF with commas throughout</t>
        </is>
      </c>
      <c r="B20" s="45" t="inlineStr">
        <is>
          <t>✓</t>
        </is>
      </c>
    </row>
    <row r="21">
      <c r="A21" t="inlineStr">
        <is>
          <t>9. Soft costs categorized IN-KIND/CASH</t>
        </is>
      </c>
      <c r="B21" s="45" t="inlineStr">
        <is>
          <t>✓</t>
        </is>
      </c>
    </row>
    <row r="22">
      <c r="A22" t="inlineStr">
        <is>
          <t>10. Project deal sheet corrected</t>
        </is>
      </c>
      <c r="B22" s="45" t="inlineStr">
        <is>
          <t>✓</t>
        </is>
      </c>
    </row>
    <row r="23">
      <c r="A23" t="inlineStr">
        <is>
          <t>11. All sheets formatted properly</t>
        </is>
      </c>
      <c r="B23" s="45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959"/>
  <sheetViews>
    <sheetView workbookViewId="0">
      <selection activeCell="A1" sqref="A1"/>
    </sheetView>
  </sheetViews>
  <sheetFormatPr baseColWidth="8" defaultRowHeight="15"/>
  <cols>
    <col width="6.63" customWidth="1" min="1" max="1"/>
    <col width="13.13" customWidth="1" min="2" max="2"/>
    <col width="6.13" customWidth="1" min="3" max="3"/>
    <col width="5.63" customWidth="1" min="4" max="4"/>
    <col width="6.5" customWidth="1" min="5" max="5"/>
    <col width="13.5" customWidth="1" min="6" max="6"/>
    <col width="6.13" customWidth="1" min="7" max="7"/>
    <col width="13.38" customWidth="1" min="8" max="8"/>
    <col width="6.13" customWidth="1" min="9" max="9"/>
    <col width="11.88" customWidth="1" min="10" max="10"/>
    <col width="12.88" customWidth="1" min="11" max="11"/>
    <col width="28.63" customWidth="1" min="12" max="12"/>
    <col width="11.13" customWidth="1" min="13" max="13"/>
    <col width="10.38" customWidth="1" min="14" max="14"/>
    <col width="9.75" customWidth="1" min="15" max="15"/>
    <col width="9.380000000000001" customWidth="1" min="16" max="16"/>
    <col width="13.63" customWidth="1" min="17" max="17"/>
    <col width="9.380000000000001" customWidth="1" min="18" max="18"/>
    <col width="9" customWidth="1" min="19" max="19"/>
    <col width="9.380000000000001" customWidth="1" min="20" max="20"/>
    <col width="13.38" customWidth="1" min="21" max="21"/>
    <col width="10.63" customWidth="1" min="22" max="22"/>
    <col width="5.75" customWidth="1" min="23" max="23"/>
    <col width="13.13" customWidth="1" min="24" max="24"/>
    <col width="8.75" customWidth="1" min="26" max="26"/>
    <col width="8.630000000000001" customWidth="1" min="28" max="28"/>
    <col width="15.88" customWidth="1" min="29" max="29"/>
    <col width="8.630000000000001" customWidth="1" min="30" max="30"/>
  </cols>
  <sheetData>
    <row r="1">
      <c r="A1" s="46" t="inlineStr">
        <is>
          <t>Floor #</t>
        </is>
      </c>
      <c r="B1" s="46" t="inlineStr">
        <is>
          <t>Saleable</t>
        </is>
      </c>
      <c r="C1" s="46" t="inlineStr">
        <is>
          <t>Height</t>
        </is>
      </c>
      <c r="D1" s="46" t="inlineStr">
        <is>
          <t>Width</t>
        </is>
      </c>
      <c r="E1" s="46" t="inlineStr">
        <is>
          <t>Length</t>
        </is>
      </c>
      <c r="F1" s="46" t="inlineStr">
        <is>
          <t>Floor Plate GSF</t>
        </is>
      </c>
      <c r="G1" s="46" t="inlineStr">
        <is>
          <t>%GSF</t>
        </is>
      </c>
      <c r="H1" s="46" t="inlineStr">
        <is>
          <t>Floor Plate NSF</t>
        </is>
      </c>
      <c r="I1" s="46" t="inlineStr">
        <is>
          <t>%NSF</t>
        </is>
      </c>
      <c r="J1" s="46" t="inlineStr">
        <is>
          <t>Unit Size NSF</t>
        </is>
      </c>
      <c r="K1" s="47" t="inlineStr">
        <is>
          <t>Units per Floor</t>
        </is>
      </c>
      <c r="L1" s="46" t="inlineStr">
        <is>
          <t>USE</t>
        </is>
      </c>
      <c r="M1" s="46" t="inlineStr">
        <is>
          <t>Units by Use</t>
        </is>
      </c>
      <c r="N1" s="46" t="inlineStr">
        <is>
          <t>GSF by Use</t>
        </is>
      </c>
      <c r="O1" s="46" t="inlineStr">
        <is>
          <t>Cost by SF</t>
        </is>
      </c>
      <c r="P1" s="46" t="inlineStr">
        <is>
          <t>Unit Cost</t>
        </is>
      </c>
      <c r="Q1" s="46" t="inlineStr">
        <is>
          <t>Total Floor Cost</t>
        </is>
      </c>
      <c r="R1" s="46" t="inlineStr">
        <is>
          <t>Soft Cost</t>
        </is>
      </c>
      <c r="S1" s="46" t="inlineStr">
        <is>
          <t>Sell by SF</t>
        </is>
      </c>
      <c r="T1" s="46" t="inlineStr">
        <is>
          <t>Unit Sale</t>
        </is>
      </c>
      <c r="U1" s="46" t="inlineStr">
        <is>
          <t>Total Floor Sale</t>
        </is>
      </c>
      <c r="V1" s="46" t="inlineStr">
        <is>
          <t>Gross Profit</t>
        </is>
      </c>
      <c r="W1" s="48" t="inlineStr">
        <is>
          <t>GP %</t>
        </is>
      </c>
      <c r="X1" s="49" t="inlineStr">
        <is>
          <t>address</t>
        </is>
      </c>
      <c r="Y1" s="46" t="n"/>
      <c r="Z1" s="46" t="n"/>
      <c r="AA1" s="46" t="n"/>
      <c r="AB1" s="46" t="n"/>
      <c r="AC1" s="50" t="n"/>
      <c r="AD1" s="50" t="n"/>
      <c r="AE1" s="50" t="n"/>
      <c r="AF1" s="50" t="n"/>
      <c r="AG1" s="50" t="n"/>
      <c r="AH1" s="50" t="n"/>
    </row>
    <row r="2">
      <c r="A2" s="50" t="n">
        <v>1</v>
      </c>
      <c r="B2" s="50" t="inlineStr">
        <is>
          <t>Saleable @Cost</t>
        </is>
      </c>
      <c r="C2" s="51" t="n">
        <v>12</v>
      </c>
      <c r="D2" s="51" t="n">
        <v>75</v>
      </c>
      <c r="E2" s="51" t="n">
        <v>175</v>
      </c>
      <c r="F2" s="52">
        <f>E2*D2</f>
        <v/>
      </c>
      <c r="G2" s="53">
        <f>F2/$F$10</f>
        <v/>
      </c>
      <c r="H2" s="52">
        <f>F2*0.8</f>
        <v/>
      </c>
      <c r="I2" s="53">
        <f>H2/$H$10</f>
        <v/>
      </c>
      <c r="J2" s="52">
        <f>F2/K2*0.8</f>
        <v/>
      </c>
      <c r="K2" s="54" t="n">
        <v>1</v>
      </c>
      <c r="L2" s="55" t="inlineStr">
        <is>
          <t>Chabad House - Mikvah</t>
        </is>
      </c>
      <c r="M2" s="52">
        <f>K2</f>
        <v/>
      </c>
      <c r="N2" s="52">
        <f>F2</f>
        <v/>
      </c>
      <c r="O2" s="56" t="n">
        <v>300.0585</v>
      </c>
      <c r="P2" s="56">
        <f>F2/K2*O2</f>
        <v/>
      </c>
      <c r="Q2" s="56">
        <f>P2*K2</f>
        <v/>
      </c>
      <c r="R2" s="56">
        <f>Q2*0.12</f>
        <v/>
      </c>
      <c r="S2" s="56" t="n">
        <v>400</v>
      </c>
      <c r="T2" s="56">
        <f>H2/K2*S2</f>
        <v/>
      </c>
      <c r="U2" s="56">
        <f>T2*K2</f>
        <v/>
      </c>
      <c r="V2" s="52" t="n"/>
      <c r="W2" s="52" t="n"/>
      <c r="X2" s="55" t="inlineStr">
        <is>
          <t>1580 79st. causeway, North Bay Village, FL 33141</t>
        </is>
      </c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</row>
    <row r="3">
      <c r="A3" s="50" t="n">
        <v>2</v>
      </c>
      <c r="B3" s="50" t="inlineStr">
        <is>
          <t>Non-Saleable</t>
        </is>
      </c>
      <c r="C3" s="51" t="n">
        <v>9</v>
      </c>
      <c r="D3" s="51" t="n">
        <v>90</v>
      </c>
      <c r="E3" s="51" t="n">
        <v>175</v>
      </c>
      <c r="F3" s="52">
        <f>E3*D3</f>
        <v/>
      </c>
      <c r="G3" s="53">
        <f>F3/$F$10</f>
        <v/>
      </c>
      <c r="H3" s="52">
        <f>F3*0.8</f>
        <v/>
      </c>
      <c r="I3" s="53">
        <f>H3/$H$10</f>
        <v/>
      </c>
      <c r="J3" s="52">
        <f>F3/K3*0.8</f>
        <v/>
      </c>
      <c r="K3" s="54" t="n">
        <v>51</v>
      </c>
      <c r="L3" s="55" t="inlineStr">
        <is>
          <t xml:space="preserve">Parking - EV Stations / ADA </t>
        </is>
      </c>
      <c r="M3" s="55" t="n"/>
      <c r="N3" s="55" t="n"/>
      <c r="O3" s="56" t="n">
        <v>300.06</v>
      </c>
      <c r="P3" s="56">
        <f>F3/K3*O3</f>
        <v/>
      </c>
      <c r="Q3" s="56">
        <f>P3*K3</f>
        <v/>
      </c>
      <c r="R3" s="56">
        <f>Q3*0.12</f>
        <v/>
      </c>
      <c r="S3" s="56" t="n"/>
      <c r="T3" s="56">
        <f>H3/K3*S3</f>
        <v/>
      </c>
      <c r="U3" s="56">
        <f>T3*K3</f>
        <v/>
      </c>
      <c r="V3" s="52" t="n"/>
      <c r="W3" s="52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</row>
    <row r="4">
      <c r="A4" s="50" t="n">
        <v>3</v>
      </c>
      <c r="B4" s="50" t="inlineStr">
        <is>
          <t>Non-Saleable</t>
        </is>
      </c>
      <c r="C4" s="51" t="n">
        <v>9</v>
      </c>
      <c r="D4" s="51" t="n">
        <v>90</v>
      </c>
      <c r="E4" s="51" t="n">
        <v>175</v>
      </c>
      <c r="F4" s="52">
        <f>E4*D4</f>
        <v/>
      </c>
      <c r="G4" s="53">
        <f>F4/$F$10</f>
        <v/>
      </c>
      <c r="H4" s="52">
        <f>F4*0.8</f>
        <v/>
      </c>
      <c r="I4" s="53">
        <f>H4/$H$10</f>
        <v/>
      </c>
      <c r="J4" s="52">
        <f>F4/K4*0.8</f>
        <v/>
      </c>
      <c r="K4" s="54" t="n">
        <v>51</v>
      </c>
      <c r="L4" s="55" t="inlineStr">
        <is>
          <t xml:space="preserve">Parking - EV Stations / ADA </t>
        </is>
      </c>
      <c r="M4" s="52">
        <f>K4+K3</f>
        <v/>
      </c>
      <c r="N4" s="52">
        <f>F4+F3</f>
        <v/>
      </c>
      <c r="O4" s="56" t="n">
        <v>300.06</v>
      </c>
      <c r="P4" s="56">
        <f>F4/K4*O4</f>
        <v/>
      </c>
      <c r="Q4" s="56">
        <f>P4*K4</f>
        <v/>
      </c>
      <c r="R4" s="56">
        <f>Q4*0.12</f>
        <v/>
      </c>
      <c r="S4" s="56" t="n"/>
      <c r="T4" s="56">
        <f>H4/K4*S4</f>
        <v/>
      </c>
      <c r="U4" s="56">
        <f>T4*K4</f>
        <v/>
      </c>
      <c r="V4" s="52" t="n"/>
      <c r="W4" s="52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</row>
    <row r="5">
      <c r="A5" s="50" t="n">
        <v>4</v>
      </c>
      <c r="B5" s="50" t="inlineStr">
        <is>
          <t>Saleable</t>
        </is>
      </c>
      <c r="C5" s="51" t="n">
        <v>10</v>
      </c>
      <c r="D5" s="51" t="n">
        <v>90</v>
      </c>
      <c r="E5" s="51" t="n">
        <v>175</v>
      </c>
      <c r="F5" s="52">
        <f>E5*D5</f>
        <v/>
      </c>
      <c r="G5" s="53">
        <f>F5/$F$10</f>
        <v/>
      </c>
      <c r="H5" s="52">
        <f>F5*0.8</f>
        <v/>
      </c>
      <c r="I5" s="53">
        <f>H5/$H$10</f>
        <v/>
      </c>
      <c r="J5" s="52">
        <f>F5/K5*0.8</f>
        <v/>
      </c>
      <c r="K5" s="54" t="n">
        <v>16</v>
      </c>
      <c r="L5" s="55" t="inlineStr">
        <is>
          <t>Residential Hospitality 2 bed-1.5 bath</t>
        </is>
      </c>
      <c r="M5" s="52" t="n"/>
      <c r="N5" s="52" t="n"/>
      <c r="O5" s="56" t="n">
        <v>300.06</v>
      </c>
      <c r="P5" s="56">
        <f>F5/K5*O5</f>
        <v/>
      </c>
      <c r="Q5" s="56">
        <f>P5*K5</f>
        <v/>
      </c>
      <c r="R5" s="56">
        <f>Q5*0.12</f>
        <v/>
      </c>
      <c r="S5" s="56" t="n">
        <v>1200</v>
      </c>
      <c r="T5" s="56">
        <f>H5/K5*S5</f>
        <v/>
      </c>
      <c r="U5" s="56">
        <f>T5*K5</f>
        <v/>
      </c>
      <c r="V5" s="52" t="n"/>
      <c r="W5" s="52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</row>
    <row r="6">
      <c r="A6" s="50" t="n">
        <v>5</v>
      </c>
      <c r="B6" s="50" t="inlineStr">
        <is>
          <t>Saleable</t>
        </is>
      </c>
      <c r="C6" s="51" t="n">
        <v>10</v>
      </c>
      <c r="D6" s="51" t="n">
        <v>90</v>
      </c>
      <c r="E6" s="51" t="n">
        <v>175</v>
      </c>
      <c r="F6" s="52">
        <f>E6*D6</f>
        <v/>
      </c>
      <c r="G6" s="53">
        <f>F6/$F$10</f>
        <v/>
      </c>
      <c r="H6" s="52">
        <f>F6*0.8</f>
        <v/>
      </c>
      <c r="I6" s="53">
        <f>H6/$H$10</f>
        <v/>
      </c>
      <c r="J6" s="52">
        <f>F6/K6*0.8</f>
        <v/>
      </c>
      <c r="K6" s="54" t="n">
        <v>16</v>
      </c>
      <c r="L6" s="55" t="inlineStr">
        <is>
          <t>Residential Hospitality 2 bed-1.5 bath</t>
        </is>
      </c>
      <c r="M6" s="52" t="n"/>
      <c r="N6" s="52" t="n"/>
      <c r="O6" s="56" t="n">
        <v>300.06</v>
      </c>
      <c r="P6" s="56">
        <f>F6/K6*O6</f>
        <v/>
      </c>
      <c r="Q6" s="56">
        <f>P6*K6</f>
        <v/>
      </c>
      <c r="R6" s="56">
        <f>Q6*0.12</f>
        <v/>
      </c>
      <c r="S6" s="56" t="n">
        <v>1200</v>
      </c>
      <c r="T6" s="56">
        <f>H6/K6*S6</f>
        <v/>
      </c>
      <c r="U6" s="56">
        <f>T6*K6</f>
        <v/>
      </c>
      <c r="V6" s="52" t="n"/>
      <c r="W6" s="52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</row>
    <row r="7">
      <c r="A7" s="50" t="n">
        <v>6</v>
      </c>
      <c r="B7" s="50" t="inlineStr">
        <is>
          <t>Saleable</t>
        </is>
      </c>
      <c r="C7" s="51" t="n">
        <v>10</v>
      </c>
      <c r="D7" s="51" t="n">
        <v>70</v>
      </c>
      <c r="E7" s="51" t="n">
        <v>155</v>
      </c>
      <c r="F7" s="52">
        <f>E7*D7</f>
        <v/>
      </c>
      <c r="G7" s="53">
        <f>F7/$F$10</f>
        <v/>
      </c>
      <c r="H7" s="52">
        <f>F7*0.8</f>
        <v/>
      </c>
      <c r="I7" s="53">
        <f>H7/$H$10</f>
        <v/>
      </c>
      <c r="J7" s="52">
        <f>F7/K7*0.8</f>
        <v/>
      </c>
      <c r="K7" s="54" t="n">
        <v>10</v>
      </c>
      <c r="L7" s="55" t="inlineStr">
        <is>
          <t>Residential Hospitality 2 bed-1.5 bath</t>
        </is>
      </c>
      <c r="M7" s="52">
        <f>K7+K6+K5</f>
        <v/>
      </c>
      <c r="N7" s="52">
        <f>F7+F6+F5</f>
        <v/>
      </c>
      <c r="O7" s="56" t="n">
        <v>300.06</v>
      </c>
      <c r="P7" s="56">
        <f>F7/K7*O7</f>
        <v/>
      </c>
      <c r="Q7" s="56">
        <f>P7*K7</f>
        <v/>
      </c>
      <c r="R7" s="56">
        <f>Q7*0.12</f>
        <v/>
      </c>
      <c r="S7" s="56" t="n">
        <v>1200</v>
      </c>
      <c r="T7" s="56">
        <f>H7/K7*S7</f>
        <v/>
      </c>
      <c r="U7" s="56">
        <f>T7*K7</f>
        <v/>
      </c>
      <c r="V7" s="52" t="n"/>
      <c r="W7" s="52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</row>
    <row r="8">
      <c r="A8" s="50" t="n">
        <v>7</v>
      </c>
      <c r="B8" s="50" t="inlineStr">
        <is>
          <t>Saleable</t>
        </is>
      </c>
      <c r="C8" s="51" t="n">
        <v>10</v>
      </c>
      <c r="D8" s="51" t="n">
        <v>70</v>
      </c>
      <c r="E8" s="51" t="n">
        <v>155</v>
      </c>
      <c r="F8" s="52">
        <f>E8*D8</f>
        <v/>
      </c>
      <c r="G8" s="53">
        <f>F8/$F$10</f>
        <v/>
      </c>
      <c r="H8" s="52">
        <f>F8*0.8</f>
        <v/>
      </c>
      <c r="I8" s="53">
        <f>H8/$H$10</f>
        <v/>
      </c>
      <c r="J8" s="52">
        <f>F8/K8*0.8</f>
        <v/>
      </c>
      <c r="K8" s="54" t="n">
        <v>8</v>
      </c>
      <c r="L8" s="55" t="inlineStr">
        <is>
          <t xml:space="preserve">Residential Condos 3 bed / 2 bath </t>
        </is>
      </c>
      <c r="M8" s="52">
        <f>K8</f>
        <v/>
      </c>
      <c r="N8" s="52">
        <f>F8</f>
        <v/>
      </c>
      <c r="O8" s="56" t="n">
        <v>300.06</v>
      </c>
      <c r="P8" s="56">
        <f>F8/K8*O8</f>
        <v/>
      </c>
      <c r="Q8" s="56">
        <f>P8*K8</f>
        <v/>
      </c>
      <c r="R8" s="56">
        <f>Q8*0.12</f>
        <v/>
      </c>
      <c r="S8" s="56" t="n">
        <v>1200</v>
      </c>
      <c r="T8" s="56">
        <f>H8/K8*S8</f>
        <v/>
      </c>
      <c r="U8" s="56">
        <f>T8*K8</f>
        <v/>
      </c>
      <c r="V8" s="52" t="n"/>
      <c r="W8" s="52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</row>
    <row r="9">
      <c r="A9" s="50" t="inlineStr">
        <is>
          <t>roof top</t>
        </is>
      </c>
      <c r="B9" s="50" t="inlineStr">
        <is>
          <t>Non-Saleable</t>
        </is>
      </c>
      <c r="C9" s="51" t="n">
        <v>5</v>
      </c>
      <c r="D9" s="51" t="n">
        <v>70</v>
      </c>
      <c r="E9" s="51" t="n">
        <v>155</v>
      </c>
      <c r="F9" s="52">
        <f>E9*D9</f>
        <v/>
      </c>
      <c r="G9" s="53">
        <f>F9/$F$10</f>
        <v/>
      </c>
      <c r="H9" s="52">
        <f>F9*0.8</f>
        <v/>
      </c>
      <c r="I9" s="53">
        <f>H9/$H$10</f>
        <v/>
      </c>
      <c r="J9" s="52">
        <f>F9/K9*0.8</f>
        <v/>
      </c>
      <c r="K9" s="54" t="n">
        <v>1</v>
      </c>
      <c r="L9" s="55" t="inlineStr">
        <is>
          <t>Pool - Gym</t>
        </is>
      </c>
      <c r="M9" s="52">
        <f>K9</f>
        <v/>
      </c>
      <c r="N9" s="52">
        <f>F9</f>
        <v/>
      </c>
      <c r="O9" s="56" t="n">
        <v>300.06</v>
      </c>
      <c r="P9" s="56">
        <f>F9/K9*O9</f>
        <v/>
      </c>
      <c r="Q9" s="56">
        <f>P9*K9</f>
        <v/>
      </c>
      <c r="R9" s="56">
        <f>Q9*0.12</f>
        <v/>
      </c>
      <c r="S9" s="56" t="n"/>
      <c r="T9" s="56">
        <f>F9/K9*S9</f>
        <v/>
      </c>
      <c r="U9" s="56">
        <f>T9*K9</f>
        <v/>
      </c>
      <c r="V9" s="52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</row>
    <row r="10">
      <c r="A10" s="57" t="inlineStr">
        <is>
          <t>Total</t>
        </is>
      </c>
      <c r="B10" s="58" t="n"/>
      <c r="C10" s="58">
        <f>SUM(C2:C9)</f>
        <v/>
      </c>
      <c r="D10" s="59" t="n"/>
      <c r="E10" s="59" t="n"/>
      <c r="F10" s="60">
        <f>SUM(F2:F9)</f>
        <v/>
      </c>
      <c r="G10" s="53">
        <f>F10/$F$10</f>
        <v/>
      </c>
      <c r="H10" s="60">
        <f>F10*0.8</f>
        <v/>
      </c>
      <c r="I10" s="53">
        <f>H10/$H$10</f>
        <v/>
      </c>
      <c r="J10" s="60" t="n"/>
      <c r="K10" s="60" t="n"/>
      <c r="L10" s="61" t="n"/>
      <c r="M10" s="46" t="n"/>
      <c r="N10" s="62">
        <f>SUM(N2:N9)</f>
        <v/>
      </c>
      <c r="O10" s="46" t="n"/>
      <c r="P10" s="46" t="n"/>
      <c r="Q10" s="63">
        <f>SUM(Q2:Q9)</f>
        <v/>
      </c>
      <c r="R10" s="63">
        <f>Q10*0.12</f>
        <v/>
      </c>
      <c r="S10" s="46" t="n"/>
      <c r="T10" s="46" t="n"/>
      <c r="U10" s="63">
        <f>SUM(U2:U9)</f>
        <v/>
      </c>
      <c r="V10" s="64">
        <f>U10-Q10-R10</f>
        <v/>
      </c>
      <c r="W10" s="65">
        <f>(U10-Q10)/U10</f>
        <v/>
      </c>
      <c r="X10" s="59" t="n"/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</row>
    <row r="11">
      <c r="B11" s="66" t="n"/>
      <c r="C11" s="66" t="n"/>
      <c r="D11" s="67" t="n"/>
      <c r="E11" s="67" t="n"/>
      <c r="F11" s="66" t="n"/>
      <c r="G11" s="67" t="n"/>
      <c r="H11" s="67" t="n"/>
      <c r="I11" s="67" t="n"/>
      <c r="J11" s="67" t="n"/>
      <c r="K11" s="68" t="n"/>
      <c r="L11" s="61" t="n"/>
      <c r="M11" s="61" t="n"/>
      <c r="N11" s="61" t="n"/>
      <c r="O11" s="69" t="n"/>
      <c r="P11" s="69" t="n"/>
      <c r="Q11" s="69" t="n"/>
      <c r="R11" s="69" t="n"/>
      <c r="S11" s="69" t="n"/>
      <c r="T11" s="56" t="n"/>
      <c r="U11" s="69" t="n"/>
      <c r="V11" s="69" t="n"/>
      <c r="W11" s="69" t="n"/>
      <c r="X11" s="67" t="n"/>
      <c r="Y11" s="67" t="n"/>
      <c r="Z11" s="67" t="n"/>
      <c r="AA11" s="61" t="n"/>
      <c r="AB11" s="61" t="n"/>
      <c r="AC11" s="61" t="n"/>
      <c r="AD11" s="61" t="n"/>
      <c r="AE11" s="61" t="n"/>
      <c r="AF11" s="61" t="n"/>
      <c r="AG11" s="61" t="n"/>
      <c r="AH11" s="61" t="n"/>
    </row>
    <row r="12">
      <c r="A12" s="70" t="n"/>
      <c r="B12" s="66" t="n"/>
      <c r="C12" s="66" t="n"/>
      <c r="D12" s="67" t="n"/>
      <c r="E12" s="67" t="n"/>
      <c r="F12" s="66" t="n"/>
      <c r="G12" s="67" t="n"/>
      <c r="H12" s="67" t="n"/>
      <c r="I12" s="67" t="n"/>
      <c r="J12" s="67" t="n"/>
      <c r="K12" s="68" t="n"/>
      <c r="L12" s="61" t="n"/>
      <c r="M12" s="62" t="n"/>
      <c r="N12" s="62" t="n"/>
      <c r="O12" s="69" t="n"/>
      <c r="P12" s="69" t="n"/>
      <c r="Q12" s="69" t="n"/>
      <c r="R12" s="69" t="n"/>
      <c r="S12" s="69" t="n"/>
      <c r="T12" s="56" t="n"/>
      <c r="U12" s="69" t="n"/>
      <c r="V12" s="69" t="n"/>
      <c r="W12" s="69" t="n"/>
      <c r="X12" s="67" t="n"/>
      <c r="Y12" s="67" t="n"/>
      <c r="Z12" s="67" t="n"/>
      <c r="AA12" s="61" t="n"/>
      <c r="AB12" s="61" t="n"/>
      <c r="AC12" s="61" t="n"/>
      <c r="AD12" s="61" t="n"/>
      <c r="AE12" s="61" t="n"/>
      <c r="AF12" s="61" t="n"/>
      <c r="AG12" s="61" t="n"/>
      <c r="AH12" s="61" t="n"/>
    </row>
    <row r="13">
      <c r="A13" s="70" t="n"/>
      <c r="B13" s="67" t="n"/>
      <c r="C13" s="67" t="n"/>
      <c r="D13" s="67" t="n"/>
      <c r="E13" s="67" t="n"/>
      <c r="F13" s="61" t="n"/>
      <c r="G13" s="61" t="n"/>
      <c r="H13" s="61" t="n"/>
      <c r="I13" s="61" t="n"/>
      <c r="J13" s="61" t="n"/>
      <c r="K13" s="61" t="n"/>
      <c r="L13" s="61" t="n"/>
      <c r="M13" s="65" t="n"/>
      <c r="N13" s="65" t="n"/>
      <c r="O13" s="69" t="n"/>
      <c r="P13" s="69" t="n"/>
      <c r="Q13" s="69" t="n"/>
      <c r="R13" s="69" t="n"/>
      <c r="S13" s="69" t="n"/>
      <c r="T13" s="56" t="n"/>
      <c r="U13" s="69" t="n"/>
      <c r="V13" s="69" t="n"/>
      <c r="W13" s="69" t="n"/>
      <c r="X13" s="61" t="n"/>
      <c r="Y13" s="61" t="n"/>
      <c r="Z13" s="67" t="n"/>
      <c r="AA13" s="61" t="n"/>
      <c r="AB13" s="61" t="n"/>
      <c r="AC13" s="61" t="n"/>
      <c r="AD13" s="61" t="n"/>
      <c r="AE13" s="61" t="n"/>
      <c r="AF13" s="61" t="n"/>
      <c r="AG13" s="61" t="n"/>
      <c r="AH13" s="61" t="n"/>
    </row>
    <row r="14">
      <c r="A14" s="61" t="n"/>
      <c r="B14" s="67" t="n"/>
      <c r="C14" s="67" t="n"/>
      <c r="D14" s="61" t="n"/>
      <c r="E14" s="61" t="n"/>
      <c r="F14" s="61" t="n"/>
      <c r="G14" s="61" t="n"/>
      <c r="H14" s="61" t="n"/>
      <c r="I14" s="61" t="n"/>
      <c r="J14" s="61" t="n"/>
      <c r="K14" s="68" t="n"/>
      <c r="L14" s="66" t="n"/>
      <c r="M14" s="71" t="n"/>
      <c r="N14" s="71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1" t="n"/>
      <c r="Y14" s="61" t="n"/>
      <c r="Z14" s="67" t="n"/>
      <c r="AA14" s="67" t="n"/>
      <c r="AB14" s="67" t="n"/>
      <c r="AC14" s="67" t="n"/>
      <c r="AD14" s="67" t="n"/>
      <c r="AE14" s="67" t="n"/>
      <c r="AF14" s="67" t="n"/>
      <c r="AG14" s="61" t="n"/>
      <c r="AH14" s="61" t="n"/>
    </row>
    <row r="15" ht="14.25" customHeight="1">
      <c r="A15" s="70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72" t="n"/>
      <c r="M15" s="73" t="n"/>
      <c r="N15" s="73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  <c r="AH15" s="67" t="n"/>
    </row>
    <row r="16">
      <c r="A16" s="70" t="n"/>
      <c r="B16" s="67" t="n"/>
      <c r="C16" s="67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74" t="n"/>
      <c r="X16" s="67" t="n"/>
      <c r="Y16" s="67" t="n"/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7" t="n"/>
    </row>
    <row r="17" ht="14.25" customHeight="1">
      <c r="A17" s="70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61" t="n"/>
      <c r="U17" s="61" t="n"/>
      <c r="V17" s="61" t="n"/>
      <c r="W17" s="74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</row>
    <row r="18" ht="14.25" customHeight="1">
      <c r="A18" s="70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74" t="n"/>
      <c r="X18" s="67" t="n"/>
      <c r="Y18" s="67" t="n"/>
      <c r="Z18" s="67" t="n"/>
      <c r="AA18" s="67" t="n"/>
      <c r="AB18" s="67" t="n"/>
      <c r="AC18" s="67" t="n"/>
      <c r="AD18" s="67" t="n"/>
      <c r="AE18" s="67" t="n"/>
      <c r="AF18" s="67" t="n"/>
      <c r="AG18" s="67" t="n"/>
      <c r="AH18" s="67" t="n"/>
    </row>
    <row r="19" ht="14.25" customHeight="1">
      <c r="A19" s="70" t="n"/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74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  <c r="AH19" s="67" t="n"/>
    </row>
    <row r="20" ht="14.25" customHeight="1">
      <c r="A20" s="70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74" t="n"/>
      <c r="X20" s="67" t="n"/>
      <c r="Y20" s="67" t="n"/>
      <c r="Z20" s="67" t="n"/>
      <c r="AA20" s="67" t="n"/>
      <c r="AB20" s="67" t="n"/>
      <c r="AC20" s="67" t="n"/>
      <c r="AD20" s="67" t="n"/>
      <c r="AE20" s="67" t="n"/>
      <c r="AF20" s="67" t="n"/>
      <c r="AG20" s="67" t="n"/>
      <c r="AH20" s="67" t="n"/>
    </row>
    <row r="21" ht="14.25" customHeight="1">
      <c r="A21" s="70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74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</row>
    <row r="22" ht="14.25" customHeight="1">
      <c r="A22" s="70" t="n"/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74" t="n"/>
      <c r="X22" s="67" t="n"/>
      <c r="Y22" s="67" t="n"/>
      <c r="Z22" s="67" t="n"/>
      <c r="AA22" s="67" t="n"/>
      <c r="AB22" s="67" t="n"/>
      <c r="AC22" s="67" t="n"/>
      <c r="AD22" s="67" t="n"/>
      <c r="AE22" s="67" t="n"/>
      <c r="AF22" s="67" t="n"/>
      <c r="AG22" s="67" t="n"/>
      <c r="AH22" s="67" t="n"/>
    </row>
    <row r="23" ht="14.25" customHeight="1">
      <c r="A23" s="70" t="n"/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7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1" t="n"/>
      <c r="V23" s="61" t="n"/>
      <c r="W23" s="74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  <c r="AG23" s="67" t="n"/>
      <c r="AH23" s="67" t="n"/>
    </row>
    <row r="24" ht="14.25" customHeight="1">
      <c r="A24" s="70" t="n"/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  <c r="K24" s="67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  <c r="U24" s="61" t="n"/>
      <c r="V24" s="61" t="n"/>
      <c r="W24" s="74" t="n"/>
      <c r="X24" s="67" t="n"/>
      <c r="Y24" s="67" t="n"/>
      <c r="Z24" s="67" t="n"/>
      <c r="AA24" s="67" t="n"/>
      <c r="AB24" s="67" t="n"/>
      <c r="AC24" s="67" t="n"/>
      <c r="AD24" s="67" t="n"/>
      <c r="AE24" s="67" t="n"/>
      <c r="AF24" s="67" t="n"/>
      <c r="AG24" s="67" t="n"/>
      <c r="AH24" s="67" t="n"/>
    </row>
    <row r="25" ht="14.25" customHeight="1">
      <c r="A25" s="70" t="n"/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74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  <c r="AH25" s="67" t="n"/>
    </row>
    <row r="26" ht="14.25" customHeight="1">
      <c r="A26" s="70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74" t="n"/>
      <c r="X26" s="67" t="n"/>
      <c r="Y26" s="67" t="n"/>
      <c r="Z26" s="67" t="n"/>
      <c r="AA26" s="67" t="n"/>
      <c r="AB26" s="67" t="n"/>
      <c r="AC26" s="67" t="n"/>
      <c r="AD26" s="67" t="n"/>
      <c r="AE26" s="67" t="n"/>
      <c r="AF26" s="67" t="n"/>
      <c r="AG26" s="67" t="n"/>
      <c r="AH26" s="67" t="n"/>
    </row>
    <row r="27" ht="14.25" customHeight="1">
      <c r="A27" s="70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74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  <c r="AG27" s="67" t="n"/>
      <c r="AH27" s="67" t="n"/>
    </row>
    <row r="28" ht="14.25" customHeight="1">
      <c r="A28" s="70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74" t="n"/>
      <c r="X28" s="67" t="n"/>
      <c r="Y28" s="67" t="n"/>
      <c r="Z28" s="67" t="n"/>
      <c r="AA28" s="67" t="n"/>
      <c r="AB28" s="67" t="n"/>
      <c r="AC28" s="67" t="n"/>
      <c r="AD28" s="67" t="n"/>
      <c r="AE28" s="67" t="n"/>
      <c r="AF28" s="67" t="n"/>
      <c r="AG28" s="67" t="n"/>
      <c r="AH28" s="67" t="n"/>
    </row>
    <row r="29" ht="14.25" customHeight="1">
      <c r="A29" s="70" t="n"/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74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  <c r="AH29" s="67" t="n"/>
    </row>
    <row r="30" ht="14.25" customHeight="1">
      <c r="A30" s="70" t="n"/>
      <c r="B30" s="67" t="n"/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61" t="n"/>
      <c r="U30" s="61" t="n"/>
      <c r="V30" s="61" t="n"/>
      <c r="W30" s="74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</row>
    <row r="31" ht="14.25" customHeight="1">
      <c r="A31" s="70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74" t="n"/>
      <c r="R31" s="74" t="n"/>
      <c r="S31" s="74" t="n"/>
      <c r="T31" s="67" t="n"/>
      <c r="U31" s="67" t="n"/>
      <c r="V31" s="67" t="n"/>
      <c r="W31" s="74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</row>
    <row r="32" ht="14.25" customHeight="1">
      <c r="A32" s="70" t="n"/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74" t="n"/>
      <c r="R32" s="74" t="n"/>
      <c r="S32" s="74" t="n"/>
      <c r="T32" s="67" t="n"/>
      <c r="U32" s="67" t="n"/>
      <c r="V32" s="67" t="n"/>
      <c r="W32" s="74" t="n"/>
      <c r="X32" s="67" t="n"/>
      <c r="Y32" s="67" t="n"/>
      <c r="Z32" s="67" t="n"/>
      <c r="AA32" s="67" t="n"/>
      <c r="AB32" s="67" t="n"/>
      <c r="AC32" s="67" t="n"/>
      <c r="AD32" s="67" t="n"/>
      <c r="AE32" s="67" t="n"/>
      <c r="AF32" s="67" t="n"/>
      <c r="AG32" s="67" t="n"/>
      <c r="AH32" s="67" t="n"/>
    </row>
    <row r="33" ht="14.25" customHeight="1">
      <c r="A33" s="70" t="n"/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74" t="n"/>
      <c r="R33" s="74" t="n"/>
      <c r="S33" s="74" t="n"/>
      <c r="T33" s="67" t="n"/>
      <c r="U33" s="67" t="n"/>
      <c r="V33" s="67" t="n"/>
      <c r="W33" s="74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  <c r="AH33" s="67" t="n"/>
    </row>
    <row r="34" ht="14.25" customHeight="1">
      <c r="A34" s="70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74" t="n"/>
      <c r="R34" s="74" t="n"/>
      <c r="S34" s="74" t="n"/>
      <c r="T34" s="67" t="n"/>
      <c r="U34" s="67" t="n"/>
      <c r="V34" s="67" t="n"/>
      <c r="W34" s="74" t="n"/>
      <c r="X34" s="67" t="n"/>
      <c r="Y34" s="67" t="n"/>
      <c r="Z34" s="67" t="n"/>
      <c r="AA34" s="67" t="n"/>
      <c r="AB34" s="67" t="n"/>
      <c r="AC34" s="67" t="n"/>
      <c r="AD34" s="67" t="n"/>
      <c r="AE34" s="67" t="n"/>
      <c r="AF34" s="67" t="n"/>
      <c r="AG34" s="67" t="n"/>
      <c r="AH34" s="67" t="n"/>
    </row>
    <row r="35" ht="14.25" customHeight="1">
      <c r="A35" s="70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74" t="n"/>
      <c r="R35" s="74" t="n"/>
      <c r="S35" s="74" t="n"/>
      <c r="T35" s="67" t="n"/>
      <c r="U35" s="67" t="n"/>
      <c r="V35" s="67" t="n"/>
      <c r="W35" s="74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  <c r="AG35" s="67" t="n"/>
      <c r="AH35" s="67" t="n"/>
    </row>
    <row r="36" ht="14.25" customHeight="1">
      <c r="A36" s="70" t="n"/>
      <c r="B36" s="67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74" t="n"/>
      <c r="R36" s="74" t="n"/>
      <c r="S36" s="74" t="n"/>
      <c r="T36" s="67" t="n"/>
      <c r="U36" s="67" t="n"/>
      <c r="V36" s="67" t="n"/>
      <c r="W36" s="74" t="n"/>
      <c r="X36" s="67" t="n"/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7" t="n"/>
    </row>
    <row r="37" ht="14.25" customHeight="1">
      <c r="A37" s="70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74" t="n"/>
      <c r="R37" s="74" t="n"/>
      <c r="S37" s="74" t="n"/>
      <c r="T37" s="67" t="n"/>
      <c r="U37" s="67" t="n"/>
      <c r="V37" s="67" t="n"/>
      <c r="W37" s="74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  <c r="AH37" s="67" t="n"/>
    </row>
    <row r="38" ht="14.25" customHeight="1">
      <c r="A38" s="70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74" t="n"/>
      <c r="R38" s="74" t="n"/>
      <c r="S38" s="74" t="n"/>
      <c r="T38" s="67" t="n"/>
      <c r="U38" s="67" t="n"/>
      <c r="V38" s="67" t="n"/>
      <c r="W38" s="74" t="n"/>
      <c r="X38" s="67" t="n"/>
      <c r="Y38" s="67" t="n"/>
      <c r="Z38" s="67" t="n"/>
      <c r="AA38" s="67" t="n"/>
      <c r="AB38" s="67" t="n"/>
      <c r="AC38" s="67" t="n"/>
      <c r="AD38" s="67" t="n"/>
      <c r="AE38" s="67" t="n"/>
      <c r="AF38" s="67" t="n"/>
      <c r="AG38" s="67" t="n"/>
      <c r="AH38" s="67" t="n"/>
    </row>
    <row r="39" ht="14.25" customHeight="1">
      <c r="A39" s="70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74" t="n"/>
      <c r="R39" s="74" t="n"/>
      <c r="S39" s="74" t="n"/>
      <c r="T39" s="67" t="n"/>
      <c r="U39" s="67" t="n"/>
      <c r="V39" s="67" t="n"/>
      <c r="W39" s="74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  <c r="AH39" s="67" t="n"/>
    </row>
    <row r="40" ht="14.25" customHeight="1">
      <c r="A40" s="70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74" t="n"/>
      <c r="R40" s="74" t="n"/>
      <c r="S40" s="74" t="n"/>
      <c r="T40" s="67" t="n"/>
      <c r="U40" s="67" t="n"/>
      <c r="V40" s="67" t="n"/>
      <c r="W40" s="74" t="n"/>
      <c r="X40" s="67" t="n"/>
      <c r="Y40" s="67" t="n"/>
      <c r="Z40" s="67" t="n"/>
      <c r="AA40" s="67" t="n"/>
      <c r="AB40" s="67" t="n"/>
      <c r="AC40" s="67" t="n"/>
      <c r="AD40" s="67" t="n"/>
      <c r="AE40" s="67" t="n"/>
      <c r="AF40" s="67" t="n"/>
      <c r="AG40" s="67" t="n"/>
      <c r="AH40" s="67" t="n"/>
    </row>
    <row r="41" ht="14.25" customHeight="1">
      <c r="A41" s="70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74" t="n"/>
      <c r="R41" s="74" t="n"/>
      <c r="S41" s="74" t="n"/>
      <c r="T41" s="67" t="n"/>
      <c r="U41" s="67" t="n"/>
      <c r="V41" s="67" t="n"/>
      <c r="W41" s="74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</row>
    <row r="42" ht="14.25" customHeight="1">
      <c r="A42" s="70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74" t="n"/>
      <c r="R42" s="74" t="n"/>
      <c r="S42" s="74" t="n"/>
      <c r="T42" s="67" t="n"/>
      <c r="U42" s="67" t="n"/>
      <c r="V42" s="67" t="n"/>
      <c r="W42" s="74" t="n"/>
      <c r="X42" s="67" t="n"/>
      <c r="Y42" s="67" t="n"/>
      <c r="Z42" s="67" t="n"/>
      <c r="AA42" s="67" t="n"/>
      <c r="AB42" s="67" t="n"/>
      <c r="AC42" s="67" t="n"/>
      <c r="AD42" s="67" t="n"/>
      <c r="AE42" s="67" t="n"/>
      <c r="AF42" s="67" t="n"/>
      <c r="AG42" s="67" t="n"/>
      <c r="AH42" s="67" t="n"/>
    </row>
    <row r="43" ht="14.25" customHeight="1">
      <c r="A43" s="70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74" t="n"/>
      <c r="R43" s="74" t="n"/>
      <c r="S43" s="74" t="n"/>
      <c r="T43" s="67" t="n"/>
      <c r="U43" s="67" t="n"/>
      <c r="V43" s="67" t="n"/>
      <c r="W43" s="74" t="n"/>
      <c r="X43" s="67" t="n"/>
      <c r="Y43" s="67" t="n"/>
      <c r="Z43" s="67" t="n"/>
      <c r="AA43" s="67" t="n"/>
      <c r="AB43" s="67" t="n"/>
      <c r="AC43" s="67" t="n"/>
      <c r="AD43" s="67" t="n"/>
      <c r="AE43" s="67" t="n"/>
      <c r="AF43" s="67" t="n"/>
      <c r="AG43" s="67" t="n"/>
      <c r="AH43" s="67" t="n"/>
    </row>
    <row r="44" ht="14.25" customHeight="1">
      <c r="A44" s="70" t="n"/>
      <c r="B44" s="67" t="n"/>
      <c r="C44" s="67" t="n"/>
      <c r="D44" s="67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74" t="n"/>
      <c r="R44" s="74" t="n"/>
      <c r="S44" s="74" t="n"/>
      <c r="T44" s="67" t="n"/>
      <c r="U44" s="67" t="n"/>
      <c r="V44" s="67" t="n"/>
      <c r="W44" s="74" t="n"/>
      <c r="X44" s="67" t="n"/>
      <c r="Y44" s="67" t="n"/>
      <c r="Z44" s="67" t="n"/>
      <c r="AA44" s="67" t="n"/>
      <c r="AB44" s="67" t="n"/>
      <c r="AC44" s="67" t="n"/>
      <c r="AD44" s="67" t="n"/>
      <c r="AE44" s="67" t="n"/>
      <c r="AF44" s="67" t="n"/>
      <c r="AG44" s="67" t="n"/>
      <c r="AH44" s="67" t="n"/>
    </row>
    <row r="45" ht="14.25" customHeight="1">
      <c r="A45" s="70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74" t="n"/>
      <c r="R45" s="74" t="n"/>
      <c r="S45" s="74" t="n"/>
      <c r="T45" s="67" t="n"/>
      <c r="U45" s="67" t="n"/>
      <c r="V45" s="67" t="n"/>
      <c r="W45" s="74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  <c r="AH45" s="67" t="n"/>
    </row>
    <row r="46" ht="14.25" customHeight="1">
      <c r="A46" s="70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74" t="n"/>
      <c r="R46" s="74" t="n"/>
      <c r="S46" s="74" t="n"/>
      <c r="T46" s="67" t="n"/>
      <c r="U46" s="67" t="n"/>
      <c r="V46" s="67" t="n"/>
      <c r="W46" s="74" t="n"/>
      <c r="X46" s="67" t="n"/>
      <c r="Y46" s="67" t="n"/>
      <c r="Z46" s="67" t="n"/>
      <c r="AA46" s="67" t="n"/>
      <c r="AB46" s="67" t="n"/>
      <c r="AC46" s="67" t="n"/>
      <c r="AD46" s="67" t="n"/>
      <c r="AE46" s="67" t="n"/>
      <c r="AF46" s="67" t="n"/>
      <c r="AG46" s="67" t="n"/>
      <c r="AH46" s="67" t="n"/>
    </row>
    <row r="47" ht="14.25" customHeight="1">
      <c r="A47" s="70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74" t="n"/>
      <c r="R47" s="74" t="n"/>
      <c r="S47" s="74" t="n"/>
      <c r="T47" s="67" t="n"/>
      <c r="U47" s="67" t="n"/>
      <c r="V47" s="67" t="n"/>
      <c r="W47" s="74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  <c r="AH47" s="67" t="n"/>
    </row>
    <row r="48" ht="14.25" customHeight="1">
      <c r="A48" s="70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74" t="n"/>
      <c r="R48" s="74" t="n"/>
      <c r="S48" s="74" t="n"/>
      <c r="T48" s="67" t="n"/>
      <c r="U48" s="67" t="n"/>
      <c r="V48" s="67" t="n"/>
      <c r="W48" s="74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7" t="n"/>
    </row>
    <row r="49" ht="14.25" customHeight="1">
      <c r="A49" s="70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74" t="n"/>
      <c r="R49" s="74" t="n"/>
      <c r="S49" s="74" t="n"/>
      <c r="T49" s="67" t="n"/>
      <c r="U49" s="67" t="n"/>
      <c r="V49" s="67" t="n"/>
      <c r="W49" s="74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  <c r="AH49" s="67" t="n"/>
    </row>
    <row r="50" ht="14.25" customHeight="1">
      <c r="A50" s="70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74" t="n"/>
      <c r="R50" s="74" t="n"/>
      <c r="S50" s="74" t="n"/>
      <c r="T50" s="67" t="n"/>
      <c r="U50" s="67" t="n"/>
      <c r="V50" s="67" t="n"/>
      <c r="W50" s="74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7" t="n"/>
    </row>
    <row r="51" ht="14.25" customHeight="1">
      <c r="A51" s="70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74" t="n"/>
      <c r="R51" s="74" t="n"/>
      <c r="S51" s="74" t="n"/>
      <c r="T51" s="67" t="n"/>
      <c r="U51" s="67" t="n"/>
      <c r="V51" s="67" t="n"/>
      <c r="W51" s="74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7" t="n"/>
    </row>
    <row r="52" ht="14.25" customHeight="1">
      <c r="A52" s="70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74" t="n"/>
      <c r="R52" s="74" t="n"/>
      <c r="S52" s="74" t="n"/>
      <c r="T52" s="67" t="n"/>
      <c r="U52" s="67" t="n"/>
      <c r="V52" s="67" t="n"/>
      <c r="W52" s="74" t="n"/>
      <c r="X52" s="67" t="n"/>
      <c r="Y52" s="67" t="n"/>
      <c r="Z52" s="67" t="n"/>
      <c r="AA52" s="67" t="n"/>
      <c r="AB52" s="67" t="n"/>
      <c r="AC52" s="67" t="n"/>
      <c r="AD52" s="67" t="n"/>
      <c r="AE52" s="67" t="n"/>
      <c r="AF52" s="67" t="n"/>
      <c r="AG52" s="67" t="n"/>
      <c r="AH52" s="67" t="n"/>
    </row>
    <row r="53" ht="14.25" customHeight="1">
      <c r="A53" s="70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74" t="n"/>
      <c r="R53" s="74" t="n"/>
      <c r="S53" s="74" t="n"/>
      <c r="T53" s="67" t="n"/>
      <c r="U53" s="67" t="n"/>
      <c r="V53" s="67" t="n"/>
      <c r="W53" s="74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  <c r="AH53" s="67" t="n"/>
    </row>
    <row r="54" ht="14.25" customHeight="1">
      <c r="A54" s="70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74" t="n"/>
      <c r="R54" s="74" t="n"/>
      <c r="S54" s="74" t="n"/>
      <c r="T54" s="67" t="n"/>
      <c r="U54" s="67" t="n"/>
      <c r="V54" s="67" t="n"/>
      <c r="W54" s="74" t="n"/>
      <c r="X54" s="67" t="n"/>
      <c r="Y54" s="67" t="n"/>
      <c r="Z54" s="67" t="n"/>
      <c r="AA54" s="67" t="n"/>
      <c r="AB54" s="67" t="n"/>
      <c r="AC54" s="67" t="n"/>
      <c r="AD54" s="67" t="n"/>
      <c r="AE54" s="67" t="n"/>
      <c r="AF54" s="67" t="n"/>
      <c r="AG54" s="67" t="n"/>
      <c r="AH54" s="67" t="n"/>
    </row>
    <row r="55" ht="14.25" customHeight="1">
      <c r="A55" s="70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74" t="n"/>
      <c r="R55" s="74" t="n"/>
      <c r="S55" s="74" t="n"/>
      <c r="T55" s="67" t="n"/>
      <c r="U55" s="67" t="n"/>
      <c r="V55" s="67" t="n"/>
      <c r="W55" s="74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  <c r="AH55" s="67" t="n"/>
    </row>
    <row r="56" ht="14.25" customHeight="1">
      <c r="A56" s="70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74" t="n"/>
      <c r="R56" s="74" t="n"/>
      <c r="S56" s="74" t="n"/>
      <c r="T56" s="67" t="n"/>
      <c r="U56" s="67" t="n"/>
      <c r="V56" s="67" t="n"/>
      <c r="W56" s="74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7" t="n"/>
      <c r="AH56" s="67" t="n"/>
    </row>
    <row r="57" ht="14.25" customHeight="1">
      <c r="A57" s="70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74" t="n"/>
      <c r="R57" s="74" t="n"/>
      <c r="S57" s="74" t="n"/>
      <c r="T57" s="67" t="n"/>
      <c r="U57" s="67" t="n"/>
      <c r="V57" s="67" t="n"/>
      <c r="W57" s="74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  <c r="AG57" s="67" t="n"/>
      <c r="AH57" s="67" t="n"/>
    </row>
    <row r="58" ht="14.25" customHeight="1">
      <c r="A58" s="70" t="n"/>
      <c r="B58" s="67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74" t="n"/>
      <c r="R58" s="74" t="n"/>
      <c r="S58" s="74" t="n"/>
      <c r="T58" s="67" t="n"/>
      <c r="U58" s="67" t="n"/>
      <c r="V58" s="67" t="n"/>
      <c r="W58" s="74" t="n"/>
      <c r="X58" s="67" t="n"/>
      <c r="Y58" s="67" t="n"/>
      <c r="Z58" s="67" t="n"/>
      <c r="AA58" s="67" t="n"/>
      <c r="AB58" s="67" t="n"/>
      <c r="AC58" s="67" t="n"/>
      <c r="AD58" s="67" t="n"/>
      <c r="AE58" s="67" t="n"/>
      <c r="AF58" s="67" t="n"/>
      <c r="AG58" s="67" t="n"/>
      <c r="AH58" s="67" t="n"/>
    </row>
    <row r="59" ht="14.25" customHeight="1">
      <c r="A59" s="70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74" t="n"/>
      <c r="R59" s="74" t="n"/>
      <c r="S59" s="74" t="n"/>
      <c r="T59" s="67" t="n"/>
      <c r="U59" s="67" t="n"/>
      <c r="V59" s="67" t="n"/>
      <c r="W59" s="74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  <c r="AG59" s="67" t="n"/>
      <c r="AH59" s="67" t="n"/>
    </row>
    <row r="60" ht="14.25" customHeight="1">
      <c r="A60" s="70" t="n"/>
      <c r="B60" s="67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74" t="n"/>
      <c r="R60" s="74" t="n"/>
      <c r="S60" s="74" t="n"/>
      <c r="T60" s="67" t="n"/>
      <c r="U60" s="67" t="n"/>
      <c r="V60" s="67" t="n"/>
      <c r="W60" s="74" t="n"/>
      <c r="X60" s="67" t="n"/>
      <c r="Y60" s="67" t="n"/>
      <c r="Z60" s="67" t="n"/>
      <c r="AA60" s="67" t="n"/>
      <c r="AB60" s="67" t="n"/>
      <c r="AC60" s="67" t="n"/>
      <c r="AD60" s="67" t="n"/>
      <c r="AE60" s="67" t="n"/>
      <c r="AF60" s="67" t="n"/>
      <c r="AG60" s="67" t="n"/>
      <c r="AH60" s="67" t="n"/>
    </row>
    <row r="61" ht="14.25" customHeight="1">
      <c r="A61" s="70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74" t="n"/>
      <c r="R61" s="74" t="n"/>
      <c r="S61" s="74" t="n"/>
      <c r="T61" s="67" t="n"/>
      <c r="U61" s="67" t="n"/>
      <c r="V61" s="67" t="n"/>
      <c r="W61" s="74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  <c r="AH61" s="67" t="n"/>
    </row>
    <row r="62" ht="14.25" customHeight="1">
      <c r="A62" s="70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74" t="n"/>
      <c r="R62" s="74" t="n"/>
      <c r="S62" s="74" t="n"/>
      <c r="T62" s="67" t="n"/>
      <c r="U62" s="67" t="n"/>
      <c r="V62" s="67" t="n"/>
      <c r="W62" s="74" t="n"/>
      <c r="X62" s="67" t="n"/>
      <c r="Y62" s="67" t="n"/>
      <c r="Z62" s="67" t="n"/>
      <c r="AA62" s="67" t="n"/>
      <c r="AB62" s="67" t="n"/>
      <c r="AC62" s="67" t="n"/>
      <c r="AD62" s="67" t="n"/>
      <c r="AE62" s="67" t="n"/>
      <c r="AF62" s="67" t="n"/>
      <c r="AG62" s="67" t="n"/>
      <c r="AH62" s="67" t="n"/>
    </row>
    <row r="63" ht="14.25" customHeight="1">
      <c r="A63" s="70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74" t="n"/>
      <c r="R63" s="74" t="n"/>
      <c r="S63" s="74" t="n"/>
      <c r="T63" s="67" t="n"/>
      <c r="U63" s="67" t="n"/>
      <c r="V63" s="67" t="n"/>
      <c r="W63" s="74" t="n"/>
      <c r="X63" s="67" t="n"/>
      <c r="Y63" s="67" t="n"/>
      <c r="Z63" s="67" t="n"/>
      <c r="AA63" s="67" t="n"/>
      <c r="AB63" s="67" t="n"/>
      <c r="AC63" s="67" t="n"/>
      <c r="AD63" s="67" t="n"/>
      <c r="AE63" s="67" t="n"/>
      <c r="AF63" s="67" t="n"/>
      <c r="AG63" s="67" t="n"/>
      <c r="AH63" s="67" t="n"/>
    </row>
    <row r="64" ht="14.25" customHeight="1">
      <c r="A64" s="70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74" t="n"/>
      <c r="R64" s="74" t="n"/>
      <c r="S64" s="74" t="n"/>
      <c r="T64" s="67" t="n"/>
      <c r="U64" s="67" t="n"/>
      <c r="V64" s="67" t="n"/>
      <c r="W64" s="74" t="n"/>
      <c r="X64" s="67" t="n"/>
      <c r="Y64" s="67" t="n"/>
      <c r="Z64" s="67" t="n"/>
      <c r="AA64" s="67" t="n"/>
      <c r="AB64" s="67" t="n"/>
      <c r="AC64" s="67" t="n"/>
      <c r="AD64" s="67" t="n"/>
      <c r="AE64" s="67" t="n"/>
      <c r="AF64" s="67" t="n"/>
      <c r="AG64" s="67" t="n"/>
      <c r="AH64" s="67" t="n"/>
    </row>
    <row r="65" ht="14.25" customHeight="1">
      <c r="A65" s="70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74" t="n"/>
      <c r="R65" s="74" t="n"/>
      <c r="S65" s="74" t="n"/>
      <c r="T65" s="67" t="n"/>
      <c r="U65" s="67" t="n"/>
      <c r="V65" s="67" t="n"/>
      <c r="W65" s="74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  <c r="AG65" s="67" t="n"/>
      <c r="AH65" s="67" t="n"/>
    </row>
    <row r="66" ht="14.25" customHeight="1">
      <c r="A66" s="70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74" t="n"/>
      <c r="R66" s="74" t="n"/>
      <c r="S66" s="74" t="n"/>
      <c r="T66" s="67" t="n"/>
      <c r="U66" s="67" t="n"/>
      <c r="V66" s="67" t="n"/>
      <c r="W66" s="74" t="n"/>
      <c r="X66" s="67" t="n"/>
      <c r="Y66" s="67" t="n"/>
      <c r="Z66" s="67" t="n"/>
      <c r="AA66" s="67" t="n"/>
      <c r="AB66" s="67" t="n"/>
      <c r="AC66" s="67" t="n"/>
      <c r="AD66" s="67" t="n"/>
      <c r="AE66" s="67" t="n"/>
      <c r="AF66" s="67" t="n"/>
      <c r="AG66" s="67" t="n"/>
      <c r="AH66" s="67" t="n"/>
    </row>
    <row r="67" ht="14.25" customHeight="1">
      <c r="A67" s="70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74" t="n"/>
      <c r="R67" s="74" t="n"/>
      <c r="S67" s="74" t="n"/>
      <c r="T67" s="67" t="n"/>
      <c r="U67" s="67" t="n"/>
      <c r="V67" s="67" t="n"/>
      <c r="W67" s="74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  <c r="AG67" s="67" t="n"/>
      <c r="AH67" s="67" t="n"/>
    </row>
    <row r="68" ht="14.25" customHeight="1">
      <c r="A68" s="70" t="n"/>
      <c r="B68" s="67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74" t="n"/>
      <c r="R68" s="74" t="n"/>
      <c r="S68" s="74" t="n"/>
      <c r="T68" s="67" t="n"/>
      <c r="U68" s="67" t="n"/>
      <c r="V68" s="67" t="n"/>
      <c r="W68" s="74" t="n"/>
      <c r="X68" s="67" t="n"/>
      <c r="Y68" s="67" t="n"/>
      <c r="Z68" s="67" t="n"/>
      <c r="AA68" s="67" t="n"/>
      <c r="AB68" s="67" t="n"/>
      <c r="AC68" s="67" t="n"/>
      <c r="AD68" s="67" t="n"/>
      <c r="AE68" s="67" t="n"/>
      <c r="AF68" s="67" t="n"/>
      <c r="AG68" s="67" t="n"/>
      <c r="AH68" s="67" t="n"/>
    </row>
    <row r="69" ht="14.25" customHeight="1">
      <c r="A69" s="70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74" t="n"/>
      <c r="R69" s="74" t="n"/>
      <c r="S69" s="74" t="n"/>
      <c r="T69" s="67" t="n"/>
      <c r="U69" s="67" t="n"/>
      <c r="V69" s="67" t="n"/>
      <c r="W69" s="74" t="n"/>
      <c r="X69" s="67" t="n"/>
      <c r="Y69" s="67" t="n"/>
      <c r="Z69" s="67" t="n"/>
      <c r="AA69" s="67" t="n"/>
      <c r="AB69" s="67" t="n"/>
      <c r="AC69" s="67" t="n"/>
      <c r="AD69" s="67" t="n"/>
      <c r="AE69" s="67" t="n"/>
      <c r="AF69" s="67" t="n"/>
      <c r="AG69" s="67" t="n"/>
      <c r="AH69" s="67" t="n"/>
    </row>
    <row r="70" ht="14.25" customHeight="1">
      <c r="A70" s="70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74" t="n"/>
      <c r="R70" s="74" t="n"/>
      <c r="S70" s="74" t="n"/>
      <c r="T70" s="67" t="n"/>
      <c r="U70" s="67" t="n"/>
      <c r="V70" s="67" t="n"/>
      <c r="W70" s="74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</row>
    <row r="71" ht="14.25" customHeight="1">
      <c r="A71" s="70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74" t="n"/>
      <c r="R71" s="74" t="n"/>
      <c r="S71" s="74" t="n"/>
      <c r="T71" s="67" t="n"/>
      <c r="U71" s="67" t="n"/>
      <c r="V71" s="67" t="n"/>
      <c r="W71" s="74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  <c r="AG71" s="67" t="n"/>
      <c r="AH71" s="67" t="n"/>
    </row>
    <row r="72" ht="14.25" customHeight="1">
      <c r="A72" s="70" t="n"/>
      <c r="B72" s="67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74" t="n"/>
      <c r="R72" s="74" t="n"/>
      <c r="S72" s="74" t="n"/>
      <c r="T72" s="67" t="n"/>
      <c r="U72" s="67" t="n"/>
      <c r="V72" s="67" t="n"/>
      <c r="W72" s="74" t="n"/>
      <c r="X72" s="67" t="n"/>
      <c r="Y72" s="67" t="n"/>
      <c r="Z72" s="67" t="n"/>
      <c r="AA72" s="67" t="n"/>
      <c r="AB72" s="67" t="n"/>
      <c r="AC72" s="67" t="n"/>
      <c r="AD72" s="67" t="n"/>
      <c r="AE72" s="67" t="n"/>
      <c r="AF72" s="67" t="n"/>
      <c r="AG72" s="67" t="n"/>
      <c r="AH72" s="67" t="n"/>
    </row>
    <row r="73" ht="14.25" customHeight="1">
      <c r="A73" s="70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74" t="n"/>
      <c r="R73" s="74" t="n"/>
      <c r="S73" s="74" t="n"/>
      <c r="T73" s="67" t="n"/>
      <c r="U73" s="67" t="n"/>
      <c r="V73" s="67" t="n"/>
      <c r="W73" s="74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  <c r="AG73" s="67" t="n"/>
      <c r="AH73" s="67" t="n"/>
    </row>
    <row r="74" ht="14.25" customHeight="1">
      <c r="A74" s="70" t="n"/>
      <c r="B74" s="67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74" t="n"/>
      <c r="R74" s="74" t="n"/>
      <c r="S74" s="74" t="n"/>
      <c r="T74" s="67" t="n"/>
      <c r="U74" s="67" t="n"/>
      <c r="V74" s="67" t="n"/>
      <c r="W74" s="74" t="n"/>
      <c r="X74" s="67" t="n"/>
      <c r="Y74" s="67" t="n"/>
      <c r="Z74" s="67" t="n"/>
      <c r="AA74" s="67" t="n"/>
      <c r="AB74" s="67" t="n"/>
      <c r="AC74" s="67" t="n"/>
      <c r="AD74" s="67" t="n"/>
      <c r="AE74" s="67" t="n"/>
      <c r="AF74" s="67" t="n"/>
      <c r="AG74" s="67" t="n"/>
      <c r="AH74" s="67" t="n"/>
    </row>
    <row r="75" ht="14.25" customHeight="1">
      <c r="A75" s="70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7" t="n"/>
      <c r="O75" s="67" t="n"/>
      <c r="P75" s="67" t="n"/>
      <c r="Q75" s="74" t="n"/>
      <c r="R75" s="74" t="n"/>
      <c r="S75" s="74" t="n"/>
      <c r="T75" s="67" t="n"/>
      <c r="U75" s="67" t="n"/>
      <c r="V75" s="67" t="n"/>
      <c r="W75" s="74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  <c r="AG75" s="67" t="n"/>
      <c r="AH75" s="67" t="n"/>
    </row>
    <row r="76" ht="14.25" customHeight="1">
      <c r="A76" s="70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74" t="n"/>
      <c r="R76" s="74" t="n"/>
      <c r="S76" s="74" t="n"/>
      <c r="T76" s="67" t="n"/>
      <c r="U76" s="67" t="n"/>
      <c r="V76" s="67" t="n"/>
      <c r="W76" s="74" t="n"/>
      <c r="X76" s="67" t="n"/>
      <c r="Y76" s="67" t="n"/>
      <c r="Z76" s="67" t="n"/>
      <c r="AA76" s="67" t="n"/>
      <c r="AB76" s="67" t="n"/>
      <c r="AC76" s="67" t="n"/>
      <c r="AD76" s="67" t="n"/>
      <c r="AE76" s="67" t="n"/>
      <c r="AF76" s="67" t="n"/>
      <c r="AG76" s="67" t="n"/>
      <c r="AH76" s="67" t="n"/>
    </row>
    <row r="77" ht="14.25" customHeight="1">
      <c r="A77" s="70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74" t="n"/>
      <c r="R77" s="74" t="n"/>
      <c r="S77" s="74" t="n"/>
      <c r="T77" s="67" t="n"/>
      <c r="U77" s="67" t="n"/>
      <c r="V77" s="67" t="n"/>
      <c r="W77" s="74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  <c r="AG77" s="67" t="n"/>
      <c r="AH77" s="67" t="n"/>
    </row>
    <row r="78" ht="14.25" customHeight="1">
      <c r="A78" s="70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74" t="n"/>
      <c r="R78" s="74" t="n"/>
      <c r="S78" s="74" t="n"/>
      <c r="T78" s="67" t="n"/>
      <c r="U78" s="67" t="n"/>
      <c r="V78" s="67" t="n"/>
      <c r="W78" s="74" t="n"/>
      <c r="X78" s="67" t="n"/>
      <c r="Y78" s="67" t="n"/>
      <c r="Z78" s="67" t="n"/>
      <c r="AA78" s="67" t="n"/>
      <c r="AB78" s="67" t="n"/>
      <c r="AC78" s="67" t="n"/>
      <c r="AD78" s="67" t="n"/>
      <c r="AE78" s="67" t="n"/>
      <c r="AF78" s="67" t="n"/>
      <c r="AG78" s="67" t="n"/>
      <c r="AH78" s="67" t="n"/>
    </row>
    <row r="79" ht="14.25" customHeight="1">
      <c r="A79" s="70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74" t="n"/>
      <c r="R79" s="74" t="n"/>
      <c r="S79" s="74" t="n"/>
      <c r="T79" s="67" t="n"/>
      <c r="U79" s="67" t="n"/>
      <c r="V79" s="67" t="n"/>
      <c r="W79" s="74" t="n"/>
      <c r="X79" s="67" t="n"/>
      <c r="Y79" s="67" t="n"/>
      <c r="Z79" s="67" t="n"/>
      <c r="AA79" s="67" t="n"/>
      <c r="AB79" s="67" t="n"/>
      <c r="AC79" s="67" t="n"/>
      <c r="AD79" s="67" t="n"/>
      <c r="AE79" s="67" t="n"/>
      <c r="AF79" s="67" t="n"/>
      <c r="AG79" s="67" t="n"/>
      <c r="AH79" s="67" t="n"/>
    </row>
    <row r="80" ht="14.25" customHeight="1">
      <c r="A80" s="70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74" t="n"/>
      <c r="R80" s="74" t="n"/>
      <c r="S80" s="74" t="n"/>
      <c r="T80" s="67" t="n"/>
      <c r="U80" s="67" t="n"/>
      <c r="V80" s="67" t="n"/>
      <c r="W80" s="74" t="n"/>
      <c r="X80" s="67" t="n"/>
      <c r="Y80" s="67" t="n"/>
      <c r="Z80" s="67" t="n"/>
      <c r="AA80" s="67" t="n"/>
      <c r="AB80" s="67" t="n"/>
      <c r="AC80" s="67" t="n"/>
      <c r="AD80" s="67" t="n"/>
      <c r="AE80" s="67" t="n"/>
      <c r="AF80" s="67" t="n"/>
      <c r="AG80" s="67" t="n"/>
      <c r="AH80" s="67" t="n"/>
    </row>
    <row r="81" ht="14.25" customHeight="1">
      <c r="A81" s="70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74" t="n"/>
      <c r="R81" s="74" t="n"/>
      <c r="S81" s="74" t="n"/>
      <c r="T81" s="67" t="n"/>
      <c r="U81" s="67" t="n"/>
      <c r="V81" s="67" t="n"/>
      <c r="W81" s="74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  <c r="AG81" s="67" t="n"/>
      <c r="AH81" s="67" t="n"/>
    </row>
    <row r="82" ht="14.25" customHeight="1">
      <c r="A82" s="70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74" t="n"/>
      <c r="R82" s="74" t="n"/>
      <c r="S82" s="74" t="n"/>
      <c r="T82" s="67" t="n"/>
      <c r="U82" s="67" t="n"/>
      <c r="V82" s="67" t="n"/>
      <c r="W82" s="74" t="n"/>
      <c r="X82" s="67" t="n"/>
      <c r="Y82" s="67" t="n"/>
      <c r="Z82" s="67" t="n"/>
      <c r="AA82" s="67" t="n"/>
      <c r="AB82" s="67" t="n"/>
      <c r="AC82" s="67" t="n"/>
      <c r="AD82" s="67" t="n"/>
      <c r="AE82" s="67" t="n"/>
      <c r="AF82" s="67" t="n"/>
      <c r="AG82" s="67" t="n"/>
      <c r="AH82" s="67" t="n"/>
    </row>
    <row r="83" ht="14.25" customHeight="1">
      <c r="A83" s="70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74" t="n"/>
      <c r="R83" s="74" t="n"/>
      <c r="S83" s="74" t="n"/>
      <c r="T83" s="67" t="n"/>
      <c r="U83" s="67" t="n"/>
      <c r="V83" s="67" t="n"/>
      <c r="W83" s="74" t="n"/>
      <c r="X83" s="67" t="n"/>
      <c r="Y83" s="67" t="n"/>
      <c r="Z83" s="67" t="n"/>
      <c r="AA83" s="67" t="n"/>
      <c r="AB83" s="67" t="n"/>
      <c r="AC83" s="67" t="n"/>
      <c r="AD83" s="67" t="n"/>
      <c r="AE83" s="67" t="n"/>
      <c r="AF83" s="67" t="n"/>
      <c r="AG83" s="67" t="n"/>
      <c r="AH83" s="67" t="n"/>
    </row>
    <row r="84" ht="14.25" customHeight="1">
      <c r="A84" s="70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74" t="n"/>
      <c r="R84" s="74" t="n"/>
      <c r="S84" s="74" t="n"/>
      <c r="T84" s="67" t="n"/>
      <c r="U84" s="67" t="n"/>
      <c r="V84" s="67" t="n"/>
      <c r="W84" s="74" t="n"/>
      <c r="X84" s="67" t="n"/>
      <c r="Y84" s="67" t="n"/>
      <c r="Z84" s="67" t="n"/>
      <c r="AA84" s="67" t="n"/>
      <c r="AB84" s="67" t="n"/>
      <c r="AC84" s="67" t="n"/>
      <c r="AD84" s="67" t="n"/>
      <c r="AE84" s="67" t="n"/>
      <c r="AF84" s="67" t="n"/>
      <c r="AG84" s="67" t="n"/>
      <c r="AH84" s="67" t="n"/>
    </row>
    <row r="85" ht="14.25" customHeight="1">
      <c r="A85" s="70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74" t="n"/>
      <c r="R85" s="74" t="n"/>
      <c r="S85" s="74" t="n"/>
      <c r="T85" s="67" t="n"/>
      <c r="U85" s="67" t="n"/>
      <c r="V85" s="67" t="n"/>
      <c r="W85" s="74" t="n"/>
      <c r="X85" s="67" t="n"/>
      <c r="Y85" s="67" t="n"/>
      <c r="Z85" s="67" t="n"/>
      <c r="AA85" s="67" t="n"/>
      <c r="AB85" s="67" t="n"/>
      <c r="AC85" s="67" t="n"/>
      <c r="AD85" s="67" t="n"/>
      <c r="AE85" s="67" t="n"/>
      <c r="AF85" s="67" t="n"/>
      <c r="AG85" s="67" t="n"/>
      <c r="AH85" s="67" t="n"/>
    </row>
    <row r="86" ht="14.25" customHeight="1">
      <c r="A86" s="70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74" t="n"/>
      <c r="R86" s="74" t="n"/>
      <c r="S86" s="74" t="n"/>
      <c r="T86" s="67" t="n"/>
      <c r="U86" s="67" t="n"/>
      <c r="V86" s="67" t="n"/>
      <c r="W86" s="74" t="n"/>
      <c r="X86" s="67" t="n"/>
      <c r="Y86" s="67" t="n"/>
      <c r="Z86" s="67" t="n"/>
      <c r="AA86" s="67" t="n"/>
      <c r="AB86" s="67" t="n"/>
      <c r="AC86" s="67" t="n"/>
      <c r="AD86" s="67" t="n"/>
      <c r="AE86" s="67" t="n"/>
      <c r="AF86" s="67" t="n"/>
      <c r="AG86" s="67" t="n"/>
      <c r="AH86" s="67" t="n"/>
    </row>
    <row r="87" ht="14.25" customHeight="1">
      <c r="A87" s="70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74" t="n"/>
      <c r="R87" s="74" t="n"/>
      <c r="S87" s="74" t="n"/>
      <c r="T87" s="67" t="n"/>
      <c r="U87" s="67" t="n"/>
      <c r="V87" s="67" t="n"/>
      <c r="W87" s="74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  <c r="AG87" s="67" t="n"/>
      <c r="AH87" s="67" t="n"/>
    </row>
    <row r="88" ht="14.25" customHeight="1">
      <c r="A88" s="70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74" t="n"/>
      <c r="R88" s="74" t="n"/>
      <c r="S88" s="74" t="n"/>
      <c r="T88" s="67" t="n"/>
      <c r="U88" s="67" t="n"/>
      <c r="V88" s="67" t="n"/>
      <c r="W88" s="74" t="n"/>
      <c r="X88" s="67" t="n"/>
      <c r="Y88" s="67" t="n"/>
      <c r="Z88" s="67" t="n"/>
      <c r="AA88" s="67" t="n"/>
      <c r="AB88" s="67" t="n"/>
      <c r="AC88" s="67" t="n"/>
      <c r="AD88" s="67" t="n"/>
      <c r="AE88" s="67" t="n"/>
      <c r="AF88" s="67" t="n"/>
      <c r="AG88" s="67" t="n"/>
      <c r="AH88" s="67" t="n"/>
    </row>
    <row r="89" ht="14.25" customHeight="1">
      <c r="A89" s="70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74" t="n"/>
      <c r="R89" s="74" t="n"/>
      <c r="S89" s="74" t="n"/>
      <c r="T89" s="67" t="n"/>
      <c r="U89" s="67" t="n"/>
      <c r="V89" s="67" t="n"/>
      <c r="W89" s="74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  <c r="AG89" s="67" t="n"/>
      <c r="AH89" s="67" t="n"/>
    </row>
    <row r="90" ht="14.25" customHeight="1">
      <c r="A90" s="70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74" t="n"/>
      <c r="R90" s="74" t="n"/>
      <c r="S90" s="74" t="n"/>
      <c r="T90" s="67" t="n"/>
      <c r="U90" s="67" t="n"/>
      <c r="V90" s="67" t="n"/>
      <c r="W90" s="74" t="n"/>
      <c r="X90" s="67" t="n"/>
      <c r="Y90" s="67" t="n"/>
      <c r="Z90" s="67" t="n"/>
      <c r="AA90" s="67" t="n"/>
      <c r="AB90" s="67" t="n"/>
      <c r="AC90" s="67" t="n"/>
      <c r="AD90" s="67" t="n"/>
      <c r="AE90" s="67" t="n"/>
      <c r="AF90" s="67" t="n"/>
      <c r="AG90" s="67" t="n"/>
      <c r="AH90" s="67" t="n"/>
    </row>
    <row r="91" ht="14.25" customHeight="1">
      <c r="A91" s="70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74" t="n"/>
      <c r="R91" s="74" t="n"/>
      <c r="S91" s="74" t="n"/>
      <c r="T91" s="67" t="n"/>
      <c r="U91" s="67" t="n"/>
      <c r="V91" s="67" t="n"/>
      <c r="W91" s="74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  <c r="AG91" s="67" t="n"/>
      <c r="AH91" s="67" t="n"/>
    </row>
    <row r="92" ht="14.25" customHeight="1">
      <c r="A92" s="70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74" t="n"/>
      <c r="R92" s="74" t="n"/>
      <c r="S92" s="74" t="n"/>
      <c r="T92" s="67" t="n"/>
      <c r="U92" s="67" t="n"/>
      <c r="V92" s="67" t="n"/>
      <c r="W92" s="74" t="n"/>
      <c r="X92" s="67" t="n"/>
      <c r="Y92" s="67" t="n"/>
      <c r="Z92" s="67" t="n"/>
      <c r="AA92" s="67" t="n"/>
      <c r="AB92" s="67" t="n"/>
      <c r="AC92" s="67" t="n"/>
      <c r="AD92" s="67" t="n"/>
      <c r="AE92" s="67" t="n"/>
      <c r="AF92" s="67" t="n"/>
      <c r="AG92" s="67" t="n"/>
      <c r="AH92" s="67" t="n"/>
    </row>
    <row r="93" ht="14.25" customHeight="1">
      <c r="A93" s="70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74" t="n"/>
      <c r="R93" s="74" t="n"/>
      <c r="S93" s="74" t="n"/>
      <c r="T93" s="67" t="n"/>
      <c r="U93" s="67" t="n"/>
      <c r="V93" s="67" t="n"/>
      <c r="W93" s="74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  <c r="AG93" s="67" t="n"/>
      <c r="AH93" s="67" t="n"/>
    </row>
    <row r="94" ht="14.25" customHeight="1">
      <c r="A94" s="70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74" t="n"/>
      <c r="R94" s="74" t="n"/>
      <c r="S94" s="74" t="n"/>
      <c r="T94" s="67" t="n"/>
      <c r="U94" s="67" t="n"/>
      <c r="V94" s="67" t="n"/>
      <c r="W94" s="74" t="n"/>
      <c r="X94" s="67" t="n"/>
      <c r="Y94" s="67" t="n"/>
      <c r="Z94" s="67" t="n"/>
      <c r="AA94" s="67" t="n"/>
      <c r="AB94" s="67" t="n"/>
      <c r="AC94" s="67" t="n"/>
      <c r="AD94" s="67" t="n"/>
      <c r="AE94" s="67" t="n"/>
      <c r="AF94" s="67" t="n"/>
      <c r="AG94" s="67" t="n"/>
      <c r="AH94" s="67" t="n"/>
    </row>
    <row r="95" ht="14.25" customHeight="1">
      <c r="A95" s="70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74" t="n"/>
      <c r="R95" s="74" t="n"/>
      <c r="S95" s="74" t="n"/>
      <c r="T95" s="67" t="n"/>
      <c r="U95" s="67" t="n"/>
      <c r="V95" s="67" t="n"/>
      <c r="W95" s="74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  <c r="AG95" s="67" t="n"/>
      <c r="AH95" s="67" t="n"/>
    </row>
    <row r="96" ht="14.25" customHeight="1">
      <c r="A96" s="70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74" t="n"/>
      <c r="R96" s="74" t="n"/>
      <c r="S96" s="74" t="n"/>
      <c r="T96" s="67" t="n"/>
      <c r="U96" s="67" t="n"/>
      <c r="V96" s="67" t="n"/>
      <c r="W96" s="74" t="n"/>
      <c r="X96" s="67" t="n"/>
      <c r="Y96" s="67" t="n"/>
      <c r="Z96" s="67" t="n"/>
      <c r="AA96" s="67" t="n"/>
      <c r="AB96" s="67" t="n"/>
      <c r="AC96" s="67" t="n"/>
      <c r="AD96" s="67" t="n"/>
      <c r="AE96" s="67" t="n"/>
      <c r="AF96" s="67" t="n"/>
      <c r="AG96" s="67" t="n"/>
      <c r="AH96" s="67" t="n"/>
    </row>
    <row r="97" ht="14.25" customHeight="1">
      <c r="A97" s="70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74" t="n"/>
      <c r="R97" s="74" t="n"/>
      <c r="S97" s="74" t="n"/>
      <c r="T97" s="67" t="n"/>
      <c r="U97" s="67" t="n"/>
      <c r="V97" s="67" t="n"/>
      <c r="W97" s="74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  <c r="AH97" s="67" t="n"/>
    </row>
    <row r="98" ht="14.25" customHeight="1">
      <c r="A98" s="70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74" t="n"/>
      <c r="R98" s="74" t="n"/>
      <c r="S98" s="74" t="n"/>
      <c r="T98" s="67" t="n"/>
      <c r="U98" s="67" t="n"/>
      <c r="V98" s="67" t="n"/>
      <c r="W98" s="74" t="n"/>
      <c r="X98" s="67" t="n"/>
      <c r="Y98" s="67" t="n"/>
      <c r="Z98" s="67" t="n"/>
      <c r="AA98" s="67" t="n"/>
      <c r="AB98" s="67" t="n"/>
      <c r="AC98" s="67" t="n"/>
      <c r="AD98" s="67" t="n"/>
      <c r="AE98" s="67" t="n"/>
      <c r="AF98" s="67" t="n"/>
      <c r="AG98" s="67" t="n"/>
      <c r="AH98" s="67" t="n"/>
    </row>
    <row r="99" ht="14.25" customHeight="1">
      <c r="A99" s="70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74" t="n"/>
      <c r="R99" s="74" t="n"/>
      <c r="S99" s="74" t="n"/>
      <c r="T99" s="67" t="n"/>
      <c r="U99" s="67" t="n"/>
      <c r="V99" s="67" t="n"/>
      <c r="W99" s="74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  <c r="AG99" s="67" t="n"/>
      <c r="AH99" s="67" t="n"/>
    </row>
    <row r="100" ht="14.25" customHeight="1">
      <c r="A100" s="70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74" t="n"/>
      <c r="R100" s="74" t="n"/>
      <c r="S100" s="74" t="n"/>
      <c r="T100" s="67" t="n"/>
      <c r="U100" s="67" t="n"/>
      <c r="V100" s="67" t="n"/>
      <c r="W100" s="74" t="n"/>
      <c r="X100" s="67" t="n"/>
      <c r="Y100" s="67" t="n"/>
      <c r="Z100" s="67" t="n"/>
      <c r="AA100" s="67" t="n"/>
      <c r="AB100" s="67" t="n"/>
      <c r="AC100" s="67" t="n"/>
      <c r="AD100" s="67" t="n"/>
      <c r="AE100" s="67" t="n"/>
      <c r="AF100" s="67" t="n"/>
      <c r="AG100" s="67" t="n"/>
      <c r="AH100" s="67" t="n"/>
    </row>
    <row r="101" ht="14.25" customHeight="1">
      <c r="A101" s="70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74" t="n"/>
      <c r="R101" s="74" t="n"/>
      <c r="S101" s="74" t="n"/>
      <c r="T101" s="67" t="n"/>
      <c r="U101" s="67" t="n"/>
      <c r="V101" s="67" t="n"/>
      <c r="W101" s="74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  <c r="AG101" s="67" t="n"/>
      <c r="AH101" s="67" t="n"/>
    </row>
    <row r="102" ht="14.25" customHeight="1">
      <c r="A102" s="70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74" t="n"/>
      <c r="R102" s="74" t="n"/>
      <c r="S102" s="74" t="n"/>
      <c r="T102" s="67" t="n"/>
      <c r="U102" s="67" t="n"/>
      <c r="V102" s="67" t="n"/>
      <c r="W102" s="74" t="n"/>
      <c r="X102" s="67" t="n"/>
      <c r="Y102" s="67" t="n"/>
      <c r="Z102" s="67" t="n"/>
      <c r="AA102" s="67" t="n"/>
      <c r="AB102" s="67" t="n"/>
      <c r="AC102" s="67" t="n"/>
      <c r="AD102" s="67" t="n"/>
      <c r="AE102" s="67" t="n"/>
      <c r="AF102" s="67" t="n"/>
      <c r="AG102" s="67" t="n"/>
      <c r="AH102" s="67" t="n"/>
    </row>
    <row r="103" ht="14.25" customHeight="1">
      <c r="A103" s="70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74" t="n"/>
      <c r="R103" s="74" t="n"/>
      <c r="S103" s="74" t="n"/>
      <c r="T103" s="67" t="n"/>
      <c r="U103" s="67" t="n"/>
      <c r="V103" s="67" t="n"/>
      <c r="W103" s="74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  <c r="AG103" s="67" t="n"/>
      <c r="AH103" s="67" t="n"/>
    </row>
    <row r="104" ht="14.25" customHeight="1">
      <c r="A104" s="70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74" t="n"/>
      <c r="R104" s="74" t="n"/>
      <c r="S104" s="74" t="n"/>
      <c r="T104" s="67" t="n"/>
      <c r="U104" s="67" t="n"/>
      <c r="V104" s="67" t="n"/>
      <c r="W104" s="74" t="n"/>
      <c r="X104" s="67" t="n"/>
      <c r="Y104" s="67" t="n"/>
      <c r="Z104" s="67" t="n"/>
      <c r="AA104" s="67" t="n"/>
      <c r="AB104" s="67" t="n"/>
      <c r="AC104" s="67" t="n"/>
      <c r="AD104" s="67" t="n"/>
      <c r="AE104" s="67" t="n"/>
      <c r="AF104" s="67" t="n"/>
      <c r="AG104" s="67" t="n"/>
      <c r="AH104" s="67" t="n"/>
    </row>
    <row r="105" ht="14.25" customHeight="1">
      <c r="A105" s="70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74" t="n"/>
      <c r="R105" s="74" t="n"/>
      <c r="S105" s="74" t="n"/>
      <c r="T105" s="67" t="n"/>
      <c r="U105" s="67" t="n"/>
      <c r="V105" s="67" t="n"/>
      <c r="W105" s="74" t="n"/>
      <c r="X105" s="67" t="n"/>
      <c r="Y105" s="67" t="n"/>
      <c r="Z105" s="67" t="n"/>
      <c r="AA105" s="67" t="n"/>
      <c r="AB105" s="67" t="n"/>
      <c r="AC105" s="67" t="n"/>
      <c r="AD105" s="67" t="n"/>
      <c r="AE105" s="67" t="n"/>
      <c r="AF105" s="67" t="n"/>
      <c r="AG105" s="67" t="n"/>
      <c r="AH105" s="67" t="n"/>
    </row>
    <row r="106" ht="14.25" customHeight="1">
      <c r="A106" s="70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74" t="n"/>
      <c r="R106" s="74" t="n"/>
      <c r="S106" s="74" t="n"/>
      <c r="T106" s="67" t="n"/>
      <c r="U106" s="67" t="n"/>
      <c r="V106" s="67" t="n"/>
      <c r="W106" s="74" t="n"/>
      <c r="X106" s="67" t="n"/>
      <c r="Y106" s="67" t="n"/>
      <c r="Z106" s="67" t="n"/>
      <c r="AA106" s="67" t="n"/>
      <c r="AB106" s="67" t="n"/>
      <c r="AC106" s="67" t="n"/>
      <c r="AD106" s="67" t="n"/>
      <c r="AE106" s="67" t="n"/>
      <c r="AF106" s="67" t="n"/>
      <c r="AG106" s="67" t="n"/>
      <c r="AH106" s="67" t="n"/>
    </row>
    <row r="107" ht="14.25" customHeight="1">
      <c r="A107" s="70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74" t="n"/>
      <c r="R107" s="74" t="n"/>
      <c r="S107" s="74" t="n"/>
      <c r="T107" s="67" t="n"/>
      <c r="U107" s="67" t="n"/>
      <c r="V107" s="67" t="n"/>
      <c r="W107" s="74" t="n"/>
      <c r="X107" s="67" t="n"/>
      <c r="Y107" s="67" t="n"/>
      <c r="Z107" s="67" t="n"/>
      <c r="AA107" s="67" t="n"/>
      <c r="AB107" s="67" t="n"/>
      <c r="AC107" s="67" t="n"/>
      <c r="AD107" s="67" t="n"/>
      <c r="AE107" s="67" t="n"/>
      <c r="AF107" s="67" t="n"/>
      <c r="AG107" s="67" t="n"/>
      <c r="AH107" s="67" t="n"/>
    </row>
    <row r="108" ht="14.25" customHeight="1">
      <c r="A108" s="70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74" t="n"/>
      <c r="R108" s="74" t="n"/>
      <c r="S108" s="74" t="n"/>
      <c r="T108" s="67" t="n"/>
      <c r="U108" s="67" t="n"/>
      <c r="V108" s="67" t="n"/>
      <c r="W108" s="74" t="n"/>
      <c r="X108" s="67" t="n"/>
      <c r="Y108" s="67" t="n"/>
      <c r="Z108" s="67" t="n"/>
      <c r="AA108" s="67" t="n"/>
      <c r="AB108" s="67" t="n"/>
      <c r="AC108" s="67" t="n"/>
      <c r="AD108" s="67" t="n"/>
      <c r="AE108" s="67" t="n"/>
      <c r="AF108" s="67" t="n"/>
      <c r="AG108" s="67" t="n"/>
      <c r="AH108" s="67" t="n"/>
    </row>
    <row r="109" ht="14.25" customHeight="1">
      <c r="A109" s="70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74" t="n"/>
      <c r="R109" s="74" t="n"/>
      <c r="S109" s="74" t="n"/>
      <c r="T109" s="67" t="n"/>
      <c r="U109" s="67" t="n"/>
      <c r="V109" s="67" t="n"/>
      <c r="W109" s="74" t="n"/>
      <c r="X109" s="67" t="n"/>
      <c r="Y109" s="67" t="n"/>
      <c r="Z109" s="67" t="n"/>
      <c r="AA109" s="67" t="n"/>
      <c r="AB109" s="67" t="n"/>
      <c r="AC109" s="67" t="n"/>
      <c r="AD109" s="67" t="n"/>
      <c r="AE109" s="67" t="n"/>
      <c r="AF109" s="67" t="n"/>
      <c r="AG109" s="67" t="n"/>
      <c r="AH109" s="67" t="n"/>
    </row>
    <row r="110" ht="14.25" customHeight="1">
      <c r="A110" s="70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74" t="n"/>
      <c r="R110" s="74" t="n"/>
      <c r="S110" s="74" t="n"/>
      <c r="T110" s="67" t="n"/>
      <c r="U110" s="67" t="n"/>
      <c r="V110" s="67" t="n"/>
      <c r="W110" s="74" t="n"/>
      <c r="X110" s="67" t="n"/>
      <c r="Y110" s="67" t="n"/>
      <c r="Z110" s="67" t="n"/>
      <c r="AA110" s="67" t="n"/>
      <c r="AB110" s="67" t="n"/>
      <c r="AC110" s="67" t="n"/>
      <c r="AD110" s="67" t="n"/>
      <c r="AE110" s="67" t="n"/>
      <c r="AF110" s="67" t="n"/>
      <c r="AG110" s="67" t="n"/>
      <c r="AH110" s="67" t="n"/>
    </row>
    <row r="111" ht="14.25" customHeight="1">
      <c r="A111" s="70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74" t="n"/>
      <c r="R111" s="74" t="n"/>
      <c r="S111" s="74" t="n"/>
      <c r="T111" s="67" t="n"/>
      <c r="U111" s="67" t="n"/>
      <c r="V111" s="67" t="n"/>
      <c r="W111" s="74" t="n"/>
      <c r="X111" s="67" t="n"/>
      <c r="Y111" s="67" t="n"/>
      <c r="Z111" s="67" t="n"/>
      <c r="AA111" s="67" t="n"/>
      <c r="AB111" s="67" t="n"/>
      <c r="AC111" s="67" t="n"/>
      <c r="AD111" s="67" t="n"/>
      <c r="AE111" s="67" t="n"/>
      <c r="AF111" s="67" t="n"/>
      <c r="AG111" s="67" t="n"/>
      <c r="AH111" s="67" t="n"/>
    </row>
    <row r="112" ht="14.25" customHeight="1">
      <c r="A112" s="70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74" t="n"/>
      <c r="R112" s="74" t="n"/>
      <c r="S112" s="74" t="n"/>
      <c r="T112" s="67" t="n"/>
      <c r="U112" s="67" t="n"/>
      <c r="V112" s="67" t="n"/>
      <c r="W112" s="74" t="n"/>
      <c r="X112" s="67" t="n"/>
      <c r="Y112" s="67" t="n"/>
      <c r="Z112" s="67" t="n"/>
      <c r="AA112" s="67" t="n"/>
      <c r="AB112" s="67" t="n"/>
      <c r="AC112" s="67" t="n"/>
      <c r="AD112" s="67" t="n"/>
      <c r="AE112" s="67" t="n"/>
      <c r="AF112" s="67" t="n"/>
      <c r="AG112" s="67" t="n"/>
      <c r="AH112" s="67" t="n"/>
    </row>
    <row r="113" ht="14.25" customHeight="1">
      <c r="A113" s="70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74" t="n"/>
      <c r="R113" s="74" t="n"/>
      <c r="S113" s="74" t="n"/>
      <c r="T113" s="67" t="n"/>
      <c r="U113" s="67" t="n"/>
      <c r="V113" s="67" t="n"/>
      <c r="W113" s="74" t="n"/>
      <c r="X113" s="67" t="n"/>
      <c r="Y113" s="67" t="n"/>
      <c r="Z113" s="67" t="n"/>
      <c r="AA113" s="67" t="n"/>
      <c r="AB113" s="67" t="n"/>
      <c r="AC113" s="67" t="n"/>
      <c r="AD113" s="67" t="n"/>
      <c r="AE113" s="67" t="n"/>
      <c r="AF113" s="67" t="n"/>
      <c r="AG113" s="67" t="n"/>
      <c r="AH113" s="67" t="n"/>
    </row>
    <row r="114" ht="14.25" customHeight="1">
      <c r="A114" s="70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74" t="n"/>
      <c r="R114" s="74" t="n"/>
      <c r="S114" s="74" t="n"/>
      <c r="T114" s="67" t="n"/>
      <c r="U114" s="67" t="n"/>
      <c r="V114" s="67" t="n"/>
      <c r="W114" s="74" t="n"/>
      <c r="X114" s="67" t="n"/>
      <c r="Y114" s="67" t="n"/>
      <c r="Z114" s="67" t="n"/>
      <c r="AA114" s="67" t="n"/>
      <c r="AB114" s="67" t="n"/>
      <c r="AC114" s="67" t="n"/>
      <c r="AD114" s="67" t="n"/>
      <c r="AE114" s="67" t="n"/>
      <c r="AF114" s="67" t="n"/>
      <c r="AG114" s="67" t="n"/>
      <c r="AH114" s="67" t="n"/>
    </row>
    <row r="115" ht="14.25" customHeight="1">
      <c r="A115" s="70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74" t="n"/>
      <c r="R115" s="74" t="n"/>
      <c r="S115" s="74" t="n"/>
      <c r="T115" s="67" t="n"/>
      <c r="U115" s="67" t="n"/>
      <c r="V115" s="67" t="n"/>
      <c r="W115" s="74" t="n"/>
      <c r="X115" s="67" t="n"/>
      <c r="Y115" s="67" t="n"/>
      <c r="Z115" s="67" t="n"/>
      <c r="AA115" s="67" t="n"/>
      <c r="AB115" s="67" t="n"/>
      <c r="AC115" s="67" t="n"/>
      <c r="AD115" s="67" t="n"/>
      <c r="AE115" s="67" t="n"/>
      <c r="AF115" s="67" t="n"/>
      <c r="AG115" s="67" t="n"/>
      <c r="AH115" s="67" t="n"/>
    </row>
    <row r="116" ht="14.25" customHeight="1">
      <c r="A116" s="70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74" t="n"/>
      <c r="R116" s="74" t="n"/>
      <c r="S116" s="74" t="n"/>
      <c r="T116" s="67" t="n"/>
      <c r="U116" s="67" t="n"/>
      <c r="V116" s="67" t="n"/>
      <c r="W116" s="74" t="n"/>
      <c r="X116" s="67" t="n"/>
      <c r="Y116" s="67" t="n"/>
      <c r="Z116" s="67" t="n"/>
      <c r="AA116" s="67" t="n"/>
      <c r="AB116" s="67" t="n"/>
      <c r="AC116" s="67" t="n"/>
      <c r="AD116" s="67" t="n"/>
      <c r="AE116" s="67" t="n"/>
      <c r="AF116" s="67" t="n"/>
      <c r="AG116" s="67" t="n"/>
      <c r="AH116" s="67" t="n"/>
    </row>
    <row r="117" ht="14.25" customHeight="1">
      <c r="A117" s="70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74" t="n"/>
      <c r="R117" s="74" t="n"/>
      <c r="S117" s="74" t="n"/>
      <c r="T117" s="67" t="n"/>
      <c r="U117" s="67" t="n"/>
      <c r="V117" s="67" t="n"/>
      <c r="W117" s="74" t="n"/>
      <c r="X117" s="67" t="n"/>
      <c r="Y117" s="67" t="n"/>
      <c r="Z117" s="67" t="n"/>
      <c r="AA117" s="67" t="n"/>
      <c r="AB117" s="67" t="n"/>
      <c r="AC117" s="67" t="n"/>
      <c r="AD117" s="67" t="n"/>
      <c r="AE117" s="67" t="n"/>
      <c r="AF117" s="67" t="n"/>
      <c r="AG117" s="67" t="n"/>
      <c r="AH117" s="67" t="n"/>
    </row>
    <row r="118" ht="14.25" customHeight="1">
      <c r="A118" s="70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74" t="n"/>
      <c r="R118" s="74" t="n"/>
      <c r="S118" s="74" t="n"/>
      <c r="T118" s="67" t="n"/>
      <c r="U118" s="67" t="n"/>
      <c r="V118" s="67" t="n"/>
      <c r="W118" s="74" t="n"/>
      <c r="X118" s="67" t="n"/>
      <c r="Y118" s="67" t="n"/>
      <c r="Z118" s="67" t="n"/>
      <c r="AA118" s="67" t="n"/>
      <c r="AB118" s="67" t="n"/>
      <c r="AC118" s="67" t="n"/>
      <c r="AD118" s="67" t="n"/>
      <c r="AE118" s="67" t="n"/>
      <c r="AF118" s="67" t="n"/>
      <c r="AG118" s="67" t="n"/>
      <c r="AH118" s="67" t="n"/>
    </row>
    <row r="119" ht="14.25" customHeight="1">
      <c r="A119" s="70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74" t="n"/>
      <c r="R119" s="74" t="n"/>
      <c r="S119" s="74" t="n"/>
      <c r="T119" s="67" t="n"/>
      <c r="U119" s="67" t="n"/>
      <c r="V119" s="67" t="n"/>
      <c r="W119" s="74" t="n"/>
      <c r="X119" s="67" t="n"/>
      <c r="Y119" s="67" t="n"/>
      <c r="Z119" s="67" t="n"/>
      <c r="AA119" s="67" t="n"/>
      <c r="AB119" s="67" t="n"/>
      <c r="AC119" s="67" t="n"/>
      <c r="AD119" s="67" t="n"/>
      <c r="AE119" s="67" t="n"/>
      <c r="AF119" s="67" t="n"/>
      <c r="AG119" s="67" t="n"/>
      <c r="AH119" s="67" t="n"/>
    </row>
    <row r="120" ht="14.25" customHeight="1">
      <c r="A120" s="70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74" t="n"/>
      <c r="R120" s="74" t="n"/>
      <c r="S120" s="74" t="n"/>
      <c r="T120" s="67" t="n"/>
      <c r="U120" s="67" t="n"/>
      <c r="V120" s="67" t="n"/>
      <c r="W120" s="74" t="n"/>
      <c r="X120" s="67" t="n"/>
      <c r="Y120" s="67" t="n"/>
      <c r="Z120" s="67" t="n"/>
      <c r="AA120" s="67" t="n"/>
      <c r="AB120" s="67" t="n"/>
      <c r="AC120" s="67" t="n"/>
      <c r="AD120" s="67" t="n"/>
      <c r="AE120" s="67" t="n"/>
      <c r="AF120" s="67" t="n"/>
      <c r="AG120" s="67" t="n"/>
      <c r="AH120" s="67" t="n"/>
    </row>
    <row r="121" ht="14.25" customHeight="1">
      <c r="A121" s="70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74" t="n"/>
      <c r="R121" s="74" t="n"/>
      <c r="S121" s="74" t="n"/>
      <c r="T121" s="67" t="n"/>
      <c r="U121" s="67" t="n"/>
      <c r="V121" s="67" t="n"/>
      <c r="W121" s="74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  <c r="AG121" s="67" t="n"/>
      <c r="AH121" s="67" t="n"/>
    </row>
    <row r="122" ht="14.25" customHeight="1">
      <c r="A122" s="70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74" t="n"/>
      <c r="R122" s="74" t="n"/>
      <c r="S122" s="74" t="n"/>
      <c r="T122" s="67" t="n"/>
      <c r="U122" s="67" t="n"/>
      <c r="V122" s="67" t="n"/>
      <c r="W122" s="74" t="n"/>
      <c r="X122" s="67" t="n"/>
      <c r="Y122" s="67" t="n"/>
      <c r="Z122" s="67" t="n"/>
      <c r="AA122" s="67" t="n"/>
      <c r="AB122" s="67" t="n"/>
      <c r="AC122" s="67" t="n"/>
      <c r="AD122" s="67" t="n"/>
      <c r="AE122" s="67" t="n"/>
      <c r="AF122" s="67" t="n"/>
      <c r="AG122" s="67" t="n"/>
      <c r="AH122" s="67" t="n"/>
    </row>
    <row r="123" ht="14.25" customHeight="1">
      <c r="A123" s="70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74" t="n"/>
      <c r="R123" s="74" t="n"/>
      <c r="S123" s="74" t="n"/>
      <c r="T123" s="67" t="n"/>
      <c r="U123" s="67" t="n"/>
      <c r="V123" s="67" t="n"/>
      <c r="W123" s="74" t="n"/>
      <c r="X123" s="67" t="n"/>
      <c r="Y123" s="67" t="n"/>
      <c r="Z123" s="67" t="n"/>
      <c r="AA123" s="67" t="n"/>
      <c r="AB123" s="67" t="n"/>
      <c r="AC123" s="67" t="n"/>
      <c r="AD123" s="67" t="n"/>
      <c r="AE123" s="67" t="n"/>
      <c r="AF123" s="67" t="n"/>
      <c r="AG123" s="67" t="n"/>
      <c r="AH123" s="67" t="n"/>
    </row>
    <row r="124" ht="14.25" customHeight="1">
      <c r="A124" s="70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74" t="n"/>
      <c r="R124" s="74" t="n"/>
      <c r="S124" s="74" t="n"/>
      <c r="T124" s="67" t="n"/>
      <c r="U124" s="67" t="n"/>
      <c r="V124" s="67" t="n"/>
      <c r="W124" s="74" t="n"/>
      <c r="X124" s="67" t="n"/>
      <c r="Y124" s="67" t="n"/>
      <c r="Z124" s="67" t="n"/>
      <c r="AA124" s="67" t="n"/>
      <c r="AB124" s="67" t="n"/>
      <c r="AC124" s="67" t="n"/>
      <c r="AD124" s="67" t="n"/>
      <c r="AE124" s="67" t="n"/>
      <c r="AF124" s="67" t="n"/>
      <c r="AG124" s="67" t="n"/>
      <c r="AH124" s="67" t="n"/>
    </row>
    <row r="125" ht="14.25" customHeight="1">
      <c r="A125" s="70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74" t="n"/>
      <c r="R125" s="74" t="n"/>
      <c r="S125" s="74" t="n"/>
      <c r="T125" s="67" t="n"/>
      <c r="U125" s="67" t="n"/>
      <c r="V125" s="67" t="n"/>
      <c r="W125" s="74" t="n"/>
      <c r="X125" s="67" t="n"/>
      <c r="Y125" s="67" t="n"/>
      <c r="Z125" s="67" t="n"/>
      <c r="AA125" s="67" t="n"/>
      <c r="AB125" s="67" t="n"/>
      <c r="AC125" s="67" t="n"/>
      <c r="AD125" s="67" t="n"/>
      <c r="AE125" s="67" t="n"/>
      <c r="AF125" s="67" t="n"/>
      <c r="AG125" s="67" t="n"/>
      <c r="AH125" s="67" t="n"/>
    </row>
    <row r="126" ht="14.25" customHeight="1">
      <c r="A126" s="70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74" t="n"/>
      <c r="R126" s="74" t="n"/>
      <c r="S126" s="74" t="n"/>
      <c r="T126" s="67" t="n"/>
      <c r="U126" s="67" t="n"/>
      <c r="V126" s="67" t="n"/>
      <c r="W126" s="74" t="n"/>
      <c r="X126" s="67" t="n"/>
      <c r="Y126" s="67" t="n"/>
      <c r="Z126" s="67" t="n"/>
      <c r="AA126" s="67" t="n"/>
      <c r="AB126" s="67" t="n"/>
      <c r="AC126" s="67" t="n"/>
      <c r="AD126" s="67" t="n"/>
      <c r="AE126" s="67" t="n"/>
      <c r="AF126" s="67" t="n"/>
      <c r="AG126" s="67" t="n"/>
      <c r="AH126" s="67" t="n"/>
    </row>
    <row r="127" ht="14.25" customHeight="1">
      <c r="A127" s="70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74" t="n"/>
      <c r="R127" s="74" t="n"/>
      <c r="S127" s="74" t="n"/>
      <c r="T127" s="67" t="n"/>
      <c r="U127" s="67" t="n"/>
      <c r="V127" s="67" t="n"/>
      <c r="W127" s="74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  <c r="AG127" s="67" t="n"/>
      <c r="AH127" s="67" t="n"/>
    </row>
    <row r="128" ht="14.25" customHeight="1">
      <c r="A128" s="70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74" t="n"/>
      <c r="R128" s="74" t="n"/>
      <c r="S128" s="74" t="n"/>
      <c r="T128" s="67" t="n"/>
      <c r="U128" s="67" t="n"/>
      <c r="V128" s="67" t="n"/>
      <c r="W128" s="74" t="n"/>
      <c r="X128" s="67" t="n"/>
      <c r="Y128" s="67" t="n"/>
      <c r="Z128" s="67" t="n"/>
      <c r="AA128" s="67" t="n"/>
      <c r="AB128" s="67" t="n"/>
      <c r="AC128" s="67" t="n"/>
      <c r="AD128" s="67" t="n"/>
      <c r="AE128" s="67" t="n"/>
      <c r="AF128" s="67" t="n"/>
      <c r="AG128" s="67" t="n"/>
      <c r="AH128" s="67" t="n"/>
    </row>
    <row r="129" ht="14.25" customHeight="1">
      <c r="A129" s="70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74" t="n"/>
      <c r="R129" s="74" t="n"/>
      <c r="S129" s="74" t="n"/>
      <c r="T129" s="67" t="n"/>
      <c r="U129" s="67" t="n"/>
      <c r="V129" s="67" t="n"/>
      <c r="W129" s="74" t="n"/>
      <c r="X129" s="67" t="n"/>
      <c r="Y129" s="67" t="n"/>
      <c r="Z129" s="67" t="n"/>
      <c r="AA129" s="67" t="n"/>
      <c r="AB129" s="67" t="n"/>
      <c r="AC129" s="67" t="n"/>
      <c r="AD129" s="67" t="n"/>
      <c r="AE129" s="67" t="n"/>
      <c r="AF129" s="67" t="n"/>
      <c r="AG129" s="67" t="n"/>
      <c r="AH129" s="67" t="n"/>
    </row>
    <row r="130" ht="14.25" customHeight="1">
      <c r="A130" s="70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74" t="n"/>
      <c r="R130" s="74" t="n"/>
      <c r="S130" s="74" t="n"/>
      <c r="T130" s="67" t="n"/>
      <c r="U130" s="67" t="n"/>
      <c r="V130" s="67" t="n"/>
      <c r="W130" s="74" t="n"/>
      <c r="X130" s="67" t="n"/>
      <c r="Y130" s="67" t="n"/>
      <c r="Z130" s="67" t="n"/>
      <c r="AA130" s="67" t="n"/>
      <c r="AB130" s="67" t="n"/>
      <c r="AC130" s="67" t="n"/>
      <c r="AD130" s="67" t="n"/>
      <c r="AE130" s="67" t="n"/>
      <c r="AF130" s="67" t="n"/>
      <c r="AG130" s="67" t="n"/>
      <c r="AH130" s="67" t="n"/>
    </row>
    <row r="131" ht="14.25" customHeight="1">
      <c r="A131" s="70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74" t="n"/>
      <c r="R131" s="74" t="n"/>
      <c r="S131" s="74" t="n"/>
      <c r="T131" s="67" t="n"/>
      <c r="U131" s="67" t="n"/>
      <c r="V131" s="67" t="n"/>
      <c r="W131" s="74" t="n"/>
      <c r="X131" s="67" t="n"/>
      <c r="Y131" s="67" t="n"/>
      <c r="Z131" s="67" t="n"/>
      <c r="AA131" s="67" t="n"/>
      <c r="AB131" s="67" t="n"/>
      <c r="AC131" s="67" t="n"/>
      <c r="AD131" s="67" t="n"/>
      <c r="AE131" s="67" t="n"/>
      <c r="AF131" s="67" t="n"/>
      <c r="AG131" s="67" t="n"/>
      <c r="AH131" s="67" t="n"/>
    </row>
    <row r="132" ht="14.25" customHeight="1">
      <c r="A132" s="70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74" t="n"/>
      <c r="R132" s="74" t="n"/>
      <c r="S132" s="74" t="n"/>
      <c r="T132" s="67" t="n"/>
      <c r="U132" s="67" t="n"/>
      <c r="V132" s="67" t="n"/>
      <c r="W132" s="74" t="n"/>
      <c r="X132" s="67" t="n"/>
      <c r="Y132" s="67" t="n"/>
      <c r="Z132" s="67" t="n"/>
      <c r="AA132" s="67" t="n"/>
      <c r="AB132" s="67" t="n"/>
      <c r="AC132" s="67" t="n"/>
      <c r="AD132" s="67" t="n"/>
      <c r="AE132" s="67" t="n"/>
      <c r="AF132" s="67" t="n"/>
      <c r="AG132" s="67" t="n"/>
      <c r="AH132" s="67" t="n"/>
    </row>
    <row r="133" ht="14.25" customHeight="1">
      <c r="A133" s="70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74" t="n"/>
      <c r="R133" s="74" t="n"/>
      <c r="S133" s="74" t="n"/>
      <c r="T133" s="67" t="n"/>
      <c r="U133" s="67" t="n"/>
      <c r="V133" s="67" t="n"/>
      <c r="W133" s="74" t="n"/>
      <c r="X133" s="67" t="n"/>
      <c r="Y133" s="67" t="n"/>
      <c r="Z133" s="67" t="n"/>
      <c r="AA133" s="67" t="n"/>
      <c r="AB133" s="67" t="n"/>
      <c r="AC133" s="67" t="n"/>
      <c r="AD133" s="67" t="n"/>
      <c r="AE133" s="67" t="n"/>
      <c r="AF133" s="67" t="n"/>
      <c r="AG133" s="67" t="n"/>
      <c r="AH133" s="67" t="n"/>
    </row>
    <row r="134" ht="14.25" customHeight="1">
      <c r="A134" s="70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74" t="n"/>
      <c r="R134" s="74" t="n"/>
      <c r="S134" s="74" t="n"/>
      <c r="T134" s="67" t="n"/>
      <c r="U134" s="67" t="n"/>
      <c r="V134" s="67" t="n"/>
      <c r="W134" s="74" t="n"/>
      <c r="X134" s="67" t="n"/>
      <c r="Y134" s="67" t="n"/>
      <c r="Z134" s="67" t="n"/>
      <c r="AA134" s="67" t="n"/>
      <c r="AB134" s="67" t="n"/>
      <c r="AC134" s="67" t="n"/>
      <c r="AD134" s="67" t="n"/>
      <c r="AE134" s="67" t="n"/>
      <c r="AF134" s="67" t="n"/>
      <c r="AG134" s="67" t="n"/>
      <c r="AH134" s="67" t="n"/>
    </row>
    <row r="135" ht="14.25" customHeight="1">
      <c r="A135" s="70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74" t="n"/>
      <c r="R135" s="74" t="n"/>
      <c r="S135" s="74" t="n"/>
      <c r="T135" s="67" t="n"/>
      <c r="U135" s="67" t="n"/>
      <c r="V135" s="67" t="n"/>
      <c r="W135" s="74" t="n"/>
      <c r="X135" s="67" t="n"/>
      <c r="Y135" s="67" t="n"/>
      <c r="Z135" s="67" t="n"/>
      <c r="AA135" s="67" t="n"/>
      <c r="AB135" s="67" t="n"/>
      <c r="AC135" s="67" t="n"/>
      <c r="AD135" s="67" t="n"/>
      <c r="AE135" s="67" t="n"/>
      <c r="AF135" s="67" t="n"/>
      <c r="AG135" s="67" t="n"/>
      <c r="AH135" s="67" t="n"/>
    </row>
    <row r="136" ht="14.25" customHeight="1">
      <c r="A136" s="70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74" t="n"/>
      <c r="R136" s="74" t="n"/>
      <c r="S136" s="74" t="n"/>
      <c r="T136" s="67" t="n"/>
      <c r="U136" s="67" t="n"/>
      <c r="V136" s="67" t="n"/>
      <c r="W136" s="74" t="n"/>
      <c r="X136" s="67" t="n"/>
      <c r="Y136" s="67" t="n"/>
      <c r="Z136" s="67" t="n"/>
      <c r="AA136" s="67" t="n"/>
      <c r="AB136" s="67" t="n"/>
      <c r="AC136" s="67" t="n"/>
      <c r="AD136" s="67" t="n"/>
      <c r="AE136" s="67" t="n"/>
      <c r="AF136" s="67" t="n"/>
      <c r="AG136" s="67" t="n"/>
      <c r="AH136" s="67" t="n"/>
    </row>
    <row r="137" ht="14.25" customHeight="1">
      <c r="A137" s="70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74" t="n"/>
      <c r="R137" s="74" t="n"/>
      <c r="S137" s="74" t="n"/>
      <c r="T137" s="67" t="n"/>
      <c r="U137" s="67" t="n"/>
      <c r="V137" s="67" t="n"/>
      <c r="W137" s="74" t="n"/>
      <c r="X137" s="67" t="n"/>
      <c r="Y137" s="67" t="n"/>
      <c r="Z137" s="67" t="n"/>
      <c r="AA137" s="67" t="n"/>
      <c r="AB137" s="67" t="n"/>
      <c r="AC137" s="67" t="n"/>
      <c r="AD137" s="67" t="n"/>
      <c r="AE137" s="67" t="n"/>
      <c r="AF137" s="67" t="n"/>
      <c r="AG137" s="67" t="n"/>
      <c r="AH137" s="67" t="n"/>
    </row>
    <row r="138" ht="14.25" customHeight="1">
      <c r="A138" s="70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74" t="n"/>
      <c r="R138" s="74" t="n"/>
      <c r="S138" s="74" t="n"/>
      <c r="T138" s="67" t="n"/>
      <c r="U138" s="67" t="n"/>
      <c r="V138" s="67" t="n"/>
      <c r="W138" s="74" t="n"/>
      <c r="X138" s="67" t="n"/>
      <c r="Y138" s="67" t="n"/>
      <c r="Z138" s="67" t="n"/>
      <c r="AA138" s="67" t="n"/>
      <c r="AB138" s="67" t="n"/>
      <c r="AC138" s="67" t="n"/>
      <c r="AD138" s="67" t="n"/>
      <c r="AE138" s="67" t="n"/>
      <c r="AF138" s="67" t="n"/>
      <c r="AG138" s="67" t="n"/>
      <c r="AH138" s="67" t="n"/>
    </row>
    <row r="139" ht="14.25" customHeight="1">
      <c r="A139" s="70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74" t="n"/>
      <c r="R139" s="74" t="n"/>
      <c r="S139" s="74" t="n"/>
      <c r="T139" s="67" t="n"/>
      <c r="U139" s="67" t="n"/>
      <c r="V139" s="67" t="n"/>
      <c r="W139" s="74" t="n"/>
      <c r="X139" s="67" t="n"/>
      <c r="Y139" s="67" t="n"/>
      <c r="Z139" s="67" t="n"/>
      <c r="AA139" s="67" t="n"/>
      <c r="AB139" s="67" t="n"/>
      <c r="AC139" s="67" t="n"/>
      <c r="AD139" s="67" t="n"/>
      <c r="AE139" s="67" t="n"/>
      <c r="AF139" s="67" t="n"/>
      <c r="AG139" s="67" t="n"/>
      <c r="AH139" s="67" t="n"/>
    </row>
    <row r="140" ht="14.25" customHeight="1">
      <c r="A140" s="70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74" t="n"/>
      <c r="R140" s="74" t="n"/>
      <c r="S140" s="74" t="n"/>
      <c r="T140" s="67" t="n"/>
      <c r="U140" s="67" t="n"/>
      <c r="V140" s="67" t="n"/>
      <c r="W140" s="74" t="n"/>
      <c r="X140" s="67" t="n"/>
      <c r="Y140" s="67" t="n"/>
      <c r="Z140" s="67" t="n"/>
      <c r="AA140" s="67" t="n"/>
      <c r="AB140" s="67" t="n"/>
      <c r="AC140" s="67" t="n"/>
      <c r="AD140" s="67" t="n"/>
      <c r="AE140" s="67" t="n"/>
      <c r="AF140" s="67" t="n"/>
      <c r="AG140" s="67" t="n"/>
      <c r="AH140" s="67" t="n"/>
    </row>
    <row r="141" ht="14.25" customHeight="1">
      <c r="A141" s="70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74" t="n"/>
      <c r="R141" s="74" t="n"/>
      <c r="S141" s="74" t="n"/>
      <c r="T141" s="67" t="n"/>
      <c r="U141" s="67" t="n"/>
      <c r="V141" s="67" t="n"/>
      <c r="W141" s="74" t="n"/>
      <c r="X141" s="67" t="n"/>
      <c r="Y141" s="67" t="n"/>
      <c r="Z141" s="67" t="n"/>
      <c r="AA141" s="67" t="n"/>
      <c r="AB141" s="67" t="n"/>
      <c r="AC141" s="67" t="n"/>
      <c r="AD141" s="67" t="n"/>
      <c r="AE141" s="67" t="n"/>
      <c r="AF141" s="67" t="n"/>
      <c r="AG141" s="67" t="n"/>
      <c r="AH141" s="67" t="n"/>
    </row>
    <row r="142" ht="14.25" customHeight="1">
      <c r="A142" s="70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74" t="n"/>
      <c r="R142" s="74" t="n"/>
      <c r="S142" s="74" t="n"/>
      <c r="T142" s="67" t="n"/>
      <c r="U142" s="67" t="n"/>
      <c r="V142" s="67" t="n"/>
      <c r="W142" s="74" t="n"/>
      <c r="X142" s="67" t="n"/>
      <c r="Y142" s="67" t="n"/>
      <c r="Z142" s="67" t="n"/>
      <c r="AA142" s="67" t="n"/>
      <c r="AB142" s="67" t="n"/>
      <c r="AC142" s="67" t="n"/>
      <c r="AD142" s="67" t="n"/>
      <c r="AE142" s="67" t="n"/>
      <c r="AF142" s="67" t="n"/>
      <c r="AG142" s="67" t="n"/>
      <c r="AH142" s="67" t="n"/>
    </row>
    <row r="143" ht="14.25" customHeight="1">
      <c r="A143" s="70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74" t="n"/>
      <c r="R143" s="74" t="n"/>
      <c r="S143" s="74" t="n"/>
      <c r="T143" s="67" t="n"/>
      <c r="U143" s="67" t="n"/>
      <c r="V143" s="67" t="n"/>
      <c r="W143" s="74" t="n"/>
      <c r="X143" s="67" t="n"/>
      <c r="Y143" s="67" t="n"/>
      <c r="Z143" s="67" t="n"/>
      <c r="AA143" s="67" t="n"/>
      <c r="AB143" s="67" t="n"/>
      <c r="AC143" s="67" t="n"/>
      <c r="AD143" s="67" t="n"/>
      <c r="AE143" s="67" t="n"/>
      <c r="AF143" s="67" t="n"/>
      <c r="AG143" s="67" t="n"/>
      <c r="AH143" s="67" t="n"/>
    </row>
    <row r="144" ht="14.25" customHeight="1">
      <c r="A144" s="7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74" t="n"/>
      <c r="R144" s="74" t="n"/>
      <c r="S144" s="74" t="n"/>
      <c r="T144" s="67" t="n"/>
      <c r="U144" s="67" t="n"/>
      <c r="V144" s="67" t="n"/>
      <c r="W144" s="74" t="n"/>
      <c r="X144" s="67" t="n"/>
      <c r="Y144" s="67" t="n"/>
      <c r="Z144" s="67" t="n"/>
      <c r="AA144" s="67" t="n"/>
      <c r="AB144" s="67" t="n"/>
      <c r="AC144" s="67" t="n"/>
      <c r="AD144" s="67" t="n"/>
      <c r="AE144" s="67" t="n"/>
      <c r="AF144" s="67" t="n"/>
      <c r="AG144" s="67" t="n"/>
      <c r="AH144" s="67" t="n"/>
    </row>
    <row r="145" ht="14.25" customHeight="1">
      <c r="A145" s="70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74" t="n"/>
      <c r="R145" s="74" t="n"/>
      <c r="S145" s="74" t="n"/>
      <c r="T145" s="67" t="n"/>
      <c r="U145" s="67" t="n"/>
      <c r="V145" s="67" t="n"/>
      <c r="W145" s="74" t="n"/>
      <c r="X145" s="67" t="n"/>
      <c r="Y145" s="67" t="n"/>
      <c r="Z145" s="67" t="n"/>
      <c r="AA145" s="67" t="n"/>
      <c r="AB145" s="67" t="n"/>
      <c r="AC145" s="67" t="n"/>
      <c r="AD145" s="67" t="n"/>
      <c r="AE145" s="67" t="n"/>
      <c r="AF145" s="67" t="n"/>
      <c r="AG145" s="67" t="n"/>
      <c r="AH145" s="67" t="n"/>
    </row>
    <row r="146" ht="14.25" customHeight="1">
      <c r="A146" s="70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74" t="n"/>
      <c r="R146" s="74" t="n"/>
      <c r="S146" s="74" t="n"/>
      <c r="T146" s="67" t="n"/>
      <c r="U146" s="67" t="n"/>
      <c r="V146" s="67" t="n"/>
      <c r="W146" s="74" t="n"/>
      <c r="X146" s="67" t="n"/>
      <c r="Y146" s="67" t="n"/>
      <c r="Z146" s="67" t="n"/>
      <c r="AA146" s="67" t="n"/>
      <c r="AB146" s="67" t="n"/>
      <c r="AC146" s="67" t="n"/>
      <c r="AD146" s="67" t="n"/>
      <c r="AE146" s="67" t="n"/>
      <c r="AF146" s="67" t="n"/>
      <c r="AG146" s="67" t="n"/>
      <c r="AH146" s="67" t="n"/>
    </row>
    <row r="147" ht="14.25" customHeight="1">
      <c r="A147" s="70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74" t="n"/>
      <c r="R147" s="74" t="n"/>
      <c r="S147" s="74" t="n"/>
      <c r="T147" s="67" t="n"/>
      <c r="U147" s="67" t="n"/>
      <c r="V147" s="67" t="n"/>
      <c r="W147" s="74" t="n"/>
      <c r="X147" s="67" t="n"/>
      <c r="Y147" s="67" t="n"/>
      <c r="Z147" s="67" t="n"/>
      <c r="AA147" s="67" t="n"/>
      <c r="AB147" s="67" t="n"/>
      <c r="AC147" s="67" t="n"/>
      <c r="AD147" s="67" t="n"/>
      <c r="AE147" s="67" t="n"/>
      <c r="AF147" s="67" t="n"/>
      <c r="AG147" s="67" t="n"/>
      <c r="AH147" s="67" t="n"/>
    </row>
    <row r="148" ht="14.25" customHeight="1">
      <c r="A148" s="70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74" t="n"/>
      <c r="R148" s="74" t="n"/>
      <c r="S148" s="74" t="n"/>
      <c r="T148" s="67" t="n"/>
      <c r="U148" s="67" t="n"/>
      <c r="V148" s="67" t="n"/>
      <c r="W148" s="74" t="n"/>
      <c r="X148" s="67" t="n"/>
      <c r="Y148" s="67" t="n"/>
      <c r="Z148" s="67" t="n"/>
      <c r="AA148" s="67" t="n"/>
      <c r="AB148" s="67" t="n"/>
      <c r="AC148" s="67" t="n"/>
      <c r="AD148" s="67" t="n"/>
      <c r="AE148" s="67" t="n"/>
      <c r="AF148" s="67" t="n"/>
      <c r="AG148" s="67" t="n"/>
      <c r="AH148" s="67" t="n"/>
    </row>
    <row r="149" ht="14.25" customHeight="1">
      <c r="A149" s="70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74" t="n"/>
      <c r="R149" s="74" t="n"/>
      <c r="S149" s="74" t="n"/>
      <c r="T149" s="67" t="n"/>
      <c r="U149" s="67" t="n"/>
      <c r="V149" s="67" t="n"/>
      <c r="W149" s="74" t="n"/>
      <c r="X149" s="67" t="n"/>
      <c r="Y149" s="67" t="n"/>
      <c r="Z149" s="67" t="n"/>
      <c r="AA149" s="67" t="n"/>
      <c r="AB149" s="67" t="n"/>
      <c r="AC149" s="67" t="n"/>
      <c r="AD149" s="67" t="n"/>
      <c r="AE149" s="67" t="n"/>
      <c r="AF149" s="67" t="n"/>
      <c r="AG149" s="67" t="n"/>
      <c r="AH149" s="67" t="n"/>
    </row>
    <row r="150" ht="14.25" customHeight="1">
      <c r="A150" s="70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74" t="n"/>
      <c r="R150" s="74" t="n"/>
      <c r="S150" s="74" t="n"/>
      <c r="T150" s="67" t="n"/>
      <c r="U150" s="67" t="n"/>
      <c r="V150" s="67" t="n"/>
      <c r="W150" s="74" t="n"/>
      <c r="X150" s="67" t="n"/>
      <c r="Y150" s="67" t="n"/>
      <c r="Z150" s="67" t="n"/>
      <c r="AA150" s="67" t="n"/>
      <c r="AB150" s="67" t="n"/>
      <c r="AC150" s="67" t="n"/>
      <c r="AD150" s="67" t="n"/>
      <c r="AE150" s="67" t="n"/>
      <c r="AF150" s="67" t="n"/>
      <c r="AG150" s="67" t="n"/>
      <c r="AH150" s="67" t="n"/>
    </row>
    <row r="151" ht="14.25" customHeight="1">
      <c r="A151" s="70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74" t="n"/>
      <c r="R151" s="74" t="n"/>
      <c r="S151" s="74" t="n"/>
      <c r="T151" s="67" t="n"/>
      <c r="U151" s="67" t="n"/>
      <c r="V151" s="67" t="n"/>
      <c r="W151" s="74" t="n"/>
      <c r="X151" s="67" t="n"/>
      <c r="Y151" s="67" t="n"/>
      <c r="Z151" s="67" t="n"/>
      <c r="AA151" s="67" t="n"/>
      <c r="AB151" s="67" t="n"/>
      <c r="AC151" s="67" t="n"/>
      <c r="AD151" s="67" t="n"/>
      <c r="AE151" s="67" t="n"/>
      <c r="AF151" s="67" t="n"/>
      <c r="AG151" s="67" t="n"/>
      <c r="AH151" s="67" t="n"/>
    </row>
    <row r="152" ht="14.25" customHeight="1">
      <c r="A152" s="70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74" t="n"/>
      <c r="R152" s="74" t="n"/>
      <c r="S152" s="74" t="n"/>
      <c r="T152" s="67" t="n"/>
      <c r="U152" s="67" t="n"/>
      <c r="V152" s="67" t="n"/>
      <c r="W152" s="74" t="n"/>
      <c r="X152" s="67" t="n"/>
      <c r="Y152" s="67" t="n"/>
      <c r="Z152" s="67" t="n"/>
      <c r="AA152" s="67" t="n"/>
      <c r="AB152" s="67" t="n"/>
      <c r="AC152" s="67" t="n"/>
      <c r="AD152" s="67" t="n"/>
      <c r="AE152" s="67" t="n"/>
      <c r="AF152" s="67" t="n"/>
      <c r="AG152" s="67" t="n"/>
      <c r="AH152" s="67" t="n"/>
    </row>
    <row r="153" ht="14.25" customHeight="1">
      <c r="A153" s="70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74" t="n"/>
      <c r="R153" s="74" t="n"/>
      <c r="S153" s="74" t="n"/>
      <c r="T153" s="67" t="n"/>
      <c r="U153" s="67" t="n"/>
      <c r="V153" s="67" t="n"/>
      <c r="W153" s="74" t="n"/>
      <c r="X153" s="67" t="n"/>
      <c r="Y153" s="67" t="n"/>
      <c r="Z153" s="67" t="n"/>
      <c r="AA153" s="67" t="n"/>
      <c r="AB153" s="67" t="n"/>
      <c r="AC153" s="67" t="n"/>
      <c r="AD153" s="67" t="n"/>
      <c r="AE153" s="67" t="n"/>
      <c r="AF153" s="67" t="n"/>
      <c r="AG153" s="67" t="n"/>
      <c r="AH153" s="67" t="n"/>
    </row>
    <row r="154" ht="14.25" customHeight="1">
      <c r="A154" s="70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74" t="n"/>
      <c r="R154" s="74" t="n"/>
      <c r="S154" s="74" t="n"/>
      <c r="T154" s="67" t="n"/>
      <c r="U154" s="67" t="n"/>
      <c r="V154" s="67" t="n"/>
      <c r="W154" s="74" t="n"/>
      <c r="X154" s="67" t="n"/>
      <c r="Y154" s="67" t="n"/>
      <c r="Z154" s="67" t="n"/>
      <c r="AA154" s="67" t="n"/>
      <c r="AB154" s="67" t="n"/>
      <c r="AC154" s="67" t="n"/>
      <c r="AD154" s="67" t="n"/>
      <c r="AE154" s="67" t="n"/>
      <c r="AF154" s="67" t="n"/>
      <c r="AG154" s="67" t="n"/>
      <c r="AH154" s="67" t="n"/>
    </row>
    <row r="155" ht="14.25" customHeight="1">
      <c r="A155" s="70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74" t="n"/>
      <c r="R155" s="74" t="n"/>
      <c r="S155" s="74" t="n"/>
      <c r="T155" s="67" t="n"/>
      <c r="U155" s="67" t="n"/>
      <c r="V155" s="67" t="n"/>
      <c r="W155" s="74" t="n"/>
      <c r="X155" s="67" t="n"/>
      <c r="Y155" s="67" t="n"/>
      <c r="Z155" s="67" t="n"/>
      <c r="AA155" s="67" t="n"/>
      <c r="AB155" s="67" t="n"/>
      <c r="AC155" s="67" t="n"/>
      <c r="AD155" s="67" t="n"/>
      <c r="AE155" s="67" t="n"/>
      <c r="AF155" s="67" t="n"/>
      <c r="AG155" s="67" t="n"/>
      <c r="AH155" s="67" t="n"/>
    </row>
    <row r="156" ht="14.25" customHeight="1">
      <c r="A156" s="70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74" t="n"/>
      <c r="R156" s="74" t="n"/>
      <c r="S156" s="74" t="n"/>
      <c r="T156" s="67" t="n"/>
      <c r="U156" s="67" t="n"/>
      <c r="V156" s="67" t="n"/>
      <c r="W156" s="74" t="n"/>
      <c r="X156" s="67" t="n"/>
      <c r="Y156" s="67" t="n"/>
      <c r="Z156" s="67" t="n"/>
      <c r="AA156" s="67" t="n"/>
      <c r="AB156" s="67" t="n"/>
      <c r="AC156" s="67" t="n"/>
      <c r="AD156" s="67" t="n"/>
      <c r="AE156" s="67" t="n"/>
      <c r="AF156" s="67" t="n"/>
      <c r="AG156" s="67" t="n"/>
      <c r="AH156" s="67" t="n"/>
    </row>
    <row r="157" ht="14.25" customHeight="1">
      <c r="A157" s="70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74" t="n"/>
      <c r="R157" s="74" t="n"/>
      <c r="S157" s="74" t="n"/>
      <c r="T157" s="67" t="n"/>
      <c r="U157" s="67" t="n"/>
      <c r="V157" s="67" t="n"/>
      <c r="W157" s="74" t="n"/>
      <c r="X157" s="67" t="n"/>
      <c r="Y157" s="67" t="n"/>
      <c r="Z157" s="67" t="n"/>
      <c r="AA157" s="67" t="n"/>
      <c r="AB157" s="67" t="n"/>
      <c r="AC157" s="67" t="n"/>
      <c r="AD157" s="67" t="n"/>
      <c r="AE157" s="67" t="n"/>
      <c r="AF157" s="67" t="n"/>
      <c r="AG157" s="67" t="n"/>
      <c r="AH157" s="67" t="n"/>
    </row>
    <row r="158" ht="14.25" customHeight="1">
      <c r="A158" s="70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74" t="n"/>
      <c r="R158" s="74" t="n"/>
      <c r="S158" s="74" t="n"/>
      <c r="T158" s="67" t="n"/>
      <c r="U158" s="67" t="n"/>
      <c r="V158" s="67" t="n"/>
      <c r="W158" s="74" t="n"/>
      <c r="X158" s="67" t="n"/>
      <c r="Y158" s="67" t="n"/>
      <c r="Z158" s="67" t="n"/>
      <c r="AA158" s="67" t="n"/>
      <c r="AB158" s="67" t="n"/>
      <c r="AC158" s="67" t="n"/>
      <c r="AD158" s="67" t="n"/>
      <c r="AE158" s="67" t="n"/>
      <c r="AF158" s="67" t="n"/>
      <c r="AG158" s="67" t="n"/>
      <c r="AH158" s="67" t="n"/>
    </row>
    <row r="159" ht="14.25" customHeight="1">
      <c r="A159" s="70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74" t="n"/>
      <c r="R159" s="74" t="n"/>
      <c r="S159" s="74" t="n"/>
      <c r="T159" s="67" t="n"/>
      <c r="U159" s="67" t="n"/>
      <c r="V159" s="67" t="n"/>
      <c r="W159" s="74" t="n"/>
      <c r="X159" s="67" t="n"/>
      <c r="Y159" s="67" t="n"/>
      <c r="Z159" s="67" t="n"/>
      <c r="AA159" s="67" t="n"/>
      <c r="AB159" s="67" t="n"/>
      <c r="AC159" s="67" t="n"/>
      <c r="AD159" s="67" t="n"/>
      <c r="AE159" s="67" t="n"/>
      <c r="AF159" s="67" t="n"/>
      <c r="AG159" s="67" t="n"/>
      <c r="AH159" s="67" t="n"/>
    </row>
    <row r="160" ht="14.25" customHeight="1">
      <c r="A160" s="70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74" t="n"/>
      <c r="R160" s="74" t="n"/>
      <c r="S160" s="74" t="n"/>
      <c r="T160" s="67" t="n"/>
      <c r="U160" s="67" t="n"/>
      <c r="V160" s="67" t="n"/>
      <c r="W160" s="74" t="n"/>
      <c r="X160" s="67" t="n"/>
      <c r="Y160" s="67" t="n"/>
      <c r="Z160" s="67" t="n"/>
      <c r="AA160" s="67" t="n"/>
      <c r="AB160" s="67" t="n"/>
      <c r="AC160" s="67" t="n"/>
      <c r="AD160" s="67" t="n"/>
      <c r="AE160" s="67" t="n"/>
      <c r="AF160" s="67" t="n"/>
      <c r="AG160" s="67" t="n"/>
      <c r="AH160" s="67" t="n"/>
    </row>
    <row r="161" ht="14.25" customHeight="1">
      <c r="A161" s="70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74" t="n"/>
      <c r="R161" s="74" t="n"/>
      <c r="S161" s="74" t="n"/>
      <c r="T161" s="67" t="n"/>
      <c r="U161" s="67" t="n"/>
      <c r="V161" s="67" t="n"/>
      <c r="W161" s="74" t="n"/>
      <c r="X161" s="67" t="n"/>
      <c r="Y161" s="67" t="n"/>
      <c r="Z161" s="67" t="n"/>
      <c r="AA161" s="67" t="n"/>
      <c r="AB161" s="67" t="n"/>
      <c r="AC161" s="67" t="n"/>
      <c r="AD161" s="67" t="n"/>
      <c r="AE161" s="67" t="n"/>
      <c r="AF161" s="67" t="n"/>
      <c r="AG161" s="67" t="n"/>
      <c r="AH161" s="67" t="n"/>
    </row>
    <row r="162" ht="14.25" customHeight="1">
      <c r="A162" s="70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74" t="n"/>
      <c r="R162" s="74" t="n"/>
      <c r="S162" s="74" t="n"/>
      <c r="T162" s="67" t="n"/>
      <c r="U162" s="67" t="n"/>
      <c r="V162" s="67" t="n"/>
      <c r="W162" s="74" t="n"/>
      <c r="X162" s="67" t="n"/>
      <c r="Y162" s="67" t="n"/>
      <c r="Z162" s="67" t="n"/>
      <c r="AA162" s="67" t="n"/>
      <c r="AB162" s="67" t="n"/>
      <c r="AC162" s="67" t="n"/>
      <c r="AD162" s="67" t="n"/>
      <c r="AE162" s="67" t="n"/>
      <c r="AF162" s="67" t="n"/>
      <c r="AG162" s="67" t="n"/>
      <c r="AH162" s="67" t="n"/>
    </row>
    <row r="163" ht="14.25" customHeight="1">
      <c r="A163" s="70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74" t="n"/>
      <c r="R163" s="74" t="n"/>
      <c r="S163" s="74" t="n"/>
      <c r="T163" s="67" t="n"/>
      <c r="U163" s="67" t="n"/>
      <c r="V163" s="67" t="n"/>
      <c r="W163" s="74" t="n"/>
      <c r="X163" s="67" t="n"/>
      <c r="Y163" s="67" t="n"/>
      <c r="Z163" s="67" t="n"/>
      <c r="AA163" s="67" t="n"/>
      <c r="AB163" s="67" t="n"/>
      <c r="AC163" s="67" t="n"/>
      <c r="AD163" s="67" t="n"/>
      <c r="AE163" s="67" t="n"/>
      <c r="AF163" s="67" t="n"/>
      <c r="AG163" s="67" t="n"/>
      <c r="AH163" s="67" t="n"/>
    </row>
    <row r="164" ht="14.25" customHeight="1">
      <c r="A164" s="70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74" t="n"/>
      <c r="R164" s="74" t="n"/>
      <c r="S164" s="74" t="n"/>
      <c r="T164" s="67" t="n"/>
      <c r="U164" s="67" t="n"/>
      <c r="V164" s="67" t="n"/>
      <c r="W164" s="74" t="n"/>
      <c r="X164" s="67" t="n"/>
      <c r="Y164" s="67" t="n"/>
      <c r="Z164" s="67" t="n"/>
      <c r="AA164" s="67" t="n"/>
      <c r="AB164" s="67" t="n"/>
      <c r="AC164" s="67" t="n"/>
      <c r="AD164" s="67" t="n"/>
      <c r="AE164" s="67" t="n"/>
      <c r="AF164" s="67" t="n"/>
      <c r="AG164" s="67" t="n"/>
      <c r="AH164" s="67" t="n"/>
    </row>
    <row r="165" ht="14.25" customHeight="1">
      <c r="A165" s="70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74" t="n"/>
      <c r="R165" s="74" t="n"/>
      <c r="S165" s="74" t="n"/>
      <c r="T165" s="67" t="n"/>
      <c r="U165" s="67" t="n"/>
      <c r="V165" s="67" t="n"/>
      <c r="W165" s="74" t="n"/>
      <c r="X165" s="67" t="n"/>
      <c r="Y165" s="67" t="n"/>
      <c r="Z165" s="67" t="n"/>
      <c r="AA165" s="67" t="n"/>
      <c r="AB165" s="67" t="n"/>
      <c r="AC165" s="67" t="n"/>
      <c r="AD165" s="67" t="n"/>
      <c r="AE165" s="67" t="n"/>
      <c r="AF165" s="67" t="n"/>
      <c r="AG165" s="67" t="n"/>
      <c r="AH165" s="67" t="n"/>
    </row>
    <row r="166" ht="14.25" customHeight="1">
      <c r="A166" s="70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74" t="n"/>
      <c r="R166" s="74" t="n"/>
      <c r="S166" s="74" t="n"/>
      <c r="T166" s="67" t="n"/>
      <c r="U166" s="67" t="n"/>
      <c r="V166" s="67" t="n"/>
      <c r="W166" s="74" t="n"/>
      <c r="X166" s="67" t="n"/>
      <c r="Y166" s="67" t="n"/>
      <c r="Z166" s="67" t="n"/>
      <c r="AA166" s="67" t="n"/>
      <c r="AB166" s="67" t="n"/>
      <c r="AC166" s="67" t="n"/>
      <c r="AD166" s="67" t="n"/>
      <c r="AE166" s="67" t="n"/>
      <c r="AF166" s="67" t="n"/>
      <c r="AG166" s="67" t="n"/>
      <c r="AH166" s="67" t="n"/>
    </row>
    <row r="167" ht="14.25" customHeight="1">
      <c r="A167" s="70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74" t="n"/>
      <c r="R167" s="74" t="n"/>
      <c r="S167" s="74" t="n"/>
      <c r="T167" s="67" t="n"/>
      <c r="U167" s="67" t="n"/>
      <c r="V167" s="67" t="n"/>
      <c r="W167" s="74" t="n"/>
      <c r="X167" s="67" t="n"/>
      <c r="Y167" s="67" t="n"/>
      <c r="Z167" s="67" t="n"/>
      <c r="AA167" s="67" t="n"/>
      <c r="AB167" s="67" t="n"/>
      <c r="AC167" s="67" t="n"/>
      <c r="AD167" s="67" t="n"/>
      <c r="AE167" s="67" t="n"/>
      <c r="AF167" s="67" t="n"/>
      <c r="AG167" s="67" t="n"/>
      <c r="AH167" s="67" t="n"/>
    </row>
    <row r="168" ht="14.25" customHeight="1">
      <c r="A168" s="70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74" t="n"/>
      <c r="R168" s="74" t="n"/>
      <c r="S168" s="74" t="n"/>
      <c r="T168" s="67" t="n"/>
      <c r="U168" s="67" t="n"/>
      <c r="V168" s="67" t="n"/>
      <c r="W168" s="74" t="n"/>
      <c r="X168" s="67" t="n"/>
      <c r="Y168" s="67" t="n"/>
      <c r="Z168" s="67" t="n"/>
      <c r="AA168" s="67" t="n"/>
      <c r="AB168" s="67" t="n"/>
      <c r="AC168" s="67" t="n"/>
      <c r="AD168" s="67" t="n"/>
      <c r="AE168" s="67" t="n"/>
      <c r="AF168" s="67" t="n"/>
      <c r="AG168" s="67" t="n"/>
      <c r="AH168" s="67" t="n"/>
    </row>
    <row r="169" ht="14.25" customHeight="1">
      <c r="A169" s="70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74" t="n"/>
      <c r="R169" s="74" t="n"/>
      <c r="S169" s="74" t="n"/>
      <c r="T169" s="67" t="n"/>
      <c r="U169" s="67" t="n"/>
      <c r="V169" s="67" t="n"/>
      <c r="W169" s="74" t="n"/>
      <c r="X169" s="67" t="n"/>
      <c r="Y169" s="67" t="n"/>
      <c r="Z169" s="67" t="n"/>
      <c r="AA169" s="67" t="n"/>
      <c r="AB169" s="67" t="n"/>
      <c r="AC169" s="67" t="n"/>
      <c r="AD169" s="67" t="n"/>
      <c r="AE169" s="67" t="n"/>
      <c r="AF169" s="67" t="n"/>
      <c r="AG169" s="67" t="n"/>
      <c r="AH169" s="67" t="n"/>
    </row>
    <row r="170" ht="14.25" customHeight="1">
      <c r="A170" s="70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74" t="n"/>
      <c r="R170" s="74" t="n"/>
      <c r="S170" s="74" t="n"/>
      <c r="T170" s="67" t="n"/>
      <c r="U170" s="67" t="n"/>
      <c r="V170" s="67" t="n"/>
      <c r="W170" s="74" t="n"/>
      <c r="X170" s="67" t="n"/>
      <c r="Y170" s="67" t="n"/>
      <c r="Z170" s="67" t="n"/>
      <c r="AA170" s="67" t="n"/>
      <c r="AB170" s="67" t="n"/>
      <c r="AC170" s="67" t="n"/>
      <c r="AD170" s="67" t="n"/>
      <c r="AE170" s="67" t="n"/>
      <c r="AF170" s="67" t="n"/>
      <c r="AG170" s="67" t="n"/>
      <c r="AH170" s="67" t="n"/>
    </row>
    <row r="171" ht="14.25" customHeight="1">
      <c r="A171" s="70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74" t="n"/>
      <c r="R171" s="74" t="n"/>
      <c r="S171" s="74" t="n"/>
      <c r="T171" s="67" t="n"/>
      <c r="U171" s="67" t="n"/>
      <c r="V171" s="67" t="n"/>
      <c r="W171" s="74" t="n"/>
      <c r="X171" s="67" t="n"/>
      <c r="Y171" s="67" t="n"/>
      <c r="Z171" s="67" t="n"/>
      <c r="AA171" s="67" t="n"/>
      <c r="AB171" s="67" t="n"/>
      <c r="AC171" s="67" t="n"/>
      <c r="AD171" s="67" t="n"/>
      <c r="AE171" s="67" t="n"/>
      <c r="AF171" s="67" t="n"/>
      <c r="AG171" s="67" t="n"/>
      <c r="AH171" s="67" t="n"/>
    </row>
    <row r="172" ht="14.25" customHeight="1">
      <c r="A172" s="70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74" t="n"/>
      <c r="R172" s="74" t="n"/>
      <c r="S172" s="74" t="n"/>
      <c r="T172" s="67" t="n"/>
      <c r="U172" s="67" t="n"/>
      <c r="V172" s="67" t="n"/>
      <c r="W172" s="74" t="n"/>
      <c r="X172" s="67" t="n"/>
      <c r="Y172" s="67" t="n"/>
      <c r="Z172" s="67" t="n"/>
      <c r="AA172" s="67" t="n"/>
      <c r="AB172" s="67" t="n"/>
      <c r="AC172" s="67" t="n"/>
      <c r="AD172" s="67" t="n"/>
      <c r="AE172" s="67" t="n"/>
      <c r="AF172" s="67" t="n"/>
      <c r="AG172" s="67" t="n"/>
      <c r="AH172" s="67" t="n"/>
    </row>
    <row r="173" ht="14.25" customHeight="1">
      <c r="A173" s="70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74" t="n"/>
      <c r="R173" s="74" t="n"/>
      <c r="S173" s="74" t="n"/>
      <c r="T173" s="67" t="n"/>
      <c r="U173" s="67" t="n"/>
      <c r="V173" s="67" t="n"/>
      <c r="W173" s="74" t="n"/>
      <c r="X173" s="67" t="n"/>
      <c r="Y173" s="67" t="n"/>
      <c r="Z173" s="67" t="n"/>
      <c r="AA173" s="67" t="n"/>
      <c r="AB173" s="67" t="n"/>
      <c r="AC173" s="67" t="n"/>
      <c r="AD173" s="67" t="n"/>
      <c r="AE173" s="67" t="n"/>
      <c r="AF173" s="67" t="n"/>
      <c r="AG173" s="67" t="n"/>
      <c r="AH173" s="67" t="n"/>
    </row>
    <row r="174" ht="14.25" customHeight="1">
      <c r="A174" s="70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74" t="n"/>
      <c r="R174" s="74" t="n"/>
      <c r="S174" s="74" t="n"/>
      <c r="T174" s="67" t="n"/>
      <c r="U174" s="67" t="n"/>
      <c r="V174" s="67" t="n"/>
      <c r="W174" s="74" t="n"/>
      <c r="X174" s="67" t="n"/>
      <c r="Y174" s="67" t="n"/>
      <c r="Z174" s="67" t="n"/>
      <c r="AA174" s="67" t="n"/>
      <c r="AB174" s="67" t="n"/>
      <c r="AC174" s="67" t="n"/>
      <c r="AD174" s="67" t="n"/>
      <c r="AE174" s="67" t="n"/>
      <c r="AF174" s="67" t="n"/>
      <c r="AG174" s="67" t="n"/>
      <c r="AH174" s="67" t="n"/>
    </row>
    <row r="175" ht="14.25" customHeight="1">
      <c r="A175" s="70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74" t="n"/>
      <c r="R175" s="74" t="n"/>
      <c r="S175" s="74" t="n"/>
      <c r="T175" s="67" t="n"/>
      <c r="U175" s="67" t="n"/>
      <c r="V175" s="67" t="n"/>
      <c r="W175" s="74" t="n"/>
      <c r="X175" s="67" t="n"/>
      <c r="Y175" s="67" t="n"/>
      <c r="Z175" s="67" t="n"/>
      <c r="AA175" s="67" t="n"/>
      <c r="AB175" s="67" t="n"/>
      <c r="AC175" s="67" t="n"/>
      <c r="AD175" s="67" t="n"/>
      <c r="AE175" s="67" t="n"/>
      <c r="AF175" s="67" t="n"/>
      <c r="AG175" s="67" t="n"/>
      <c r="AH175" s="67" t="n"/>
    </row>
    <row r="176" ht="14.25" customHeight="1">
      <c r="A176" s="70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74" t="n"/>
      <c r="R176" s="74" t="n"/>
      <c r="S176" s="74" t="n"/>
      <c r="T176" s="67" t="n"/>
      <c r="U176" s="67" t="n"/>
      <c r="V176" s="67" t="n"/>
      <c r="W176" s="74" t="n"/>
      <c r="X176" s="67" t="n"/>
      <c r="Y176" s="67" t="n"/>
      <c r="Z176" s="67" t="n"/>
      <c r="AA176" s="67" t="n"/>
      <c r="AB176" s="67" t="n"/>
      <c r="AC176" s="67" t="n"/>
      <c r="AD176" s="67" t="n"/>
      <c r="AE176" s="67" t="n"/>
      <c r="AF176" s="67" t="n"/>
      <c r="AG176" s="67" t="n"/>
      <c r="AH176" s="67" t="n"/>
    </row>
    <row r="177" ht="14.25" customHeight="1">
      <c r="A177" s="70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74" t="n"/>
      <c r="R177" s="74" t="n"/>
      <c r="S177" s="74" t="n"/>
      <c r="T177" s="67" t="n"/>
      <c r="U177" s="67" t="n"/>
      <c r="V177" s="67" t="n"/>
      <c r="W177" s="74" t="n"/>
      <c r="X177" s="67" t="n"/>
      <c r="Y177" s="67" t="n"/>
      <c r="Z177" s="67" t="n"/>
      <c r="AA177" s="67" t="n"/>
      <c r="AB177" s="67" t="n"/>
      <c r="AC177" s="67" t="n"/>
      <c r="AD177" s="67" t="n"/>
      <c r="AE177" s="67" t="n"/>
      <c r="AF177" s="67" t="n"/>
      <c r="AG177" s="67" t="n"/>
      <c r="AH177" s="67" t="n"/>
    </row>
    <row r="178" ht="14.25" customHeight="1">
      <c r="A178" s="70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74" t="n"/>
      <c r="R178" s="74" t="n"/>
      <c r="S178" s="74" t="n"/>
      <c r="T178" s="67" t="n"/>
      <c r="U178" s="67" t="n"/>
      <c r="V178" s="67" t="n"/>
      <c r="W178" s="74" t="n"/>
      <c r="X178" s="67" t="n"/>
      <c r="Y178" s="67" t="n"/>
      <c r="Z178" s="67" t="n"/>
      <c r="AA178" s="67" t="n"/>
      <c r="AB178" s="67" t="n"/>
      <c r="AC178" s="67" t="n"/>
      <c r="AD178" s="67" t="n"/>
      <c r="AE178" s="67" t="n"/>
      <c r="AF178" s="67" t="n"/>
      <c r="AG178" s="67" t="n"/>
      <c r="AH178" s="67" t="n"/>
    </row>
    <row r="179" ht="14.25" customHeight="1">
      <c r="A179" s="70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74" t="n"/>
      <c r="R179" s="74" t="n"/>
      <c r="S179" s="74" t="n"/>
      <c r="T179" s="67" t="n"/>
      <c r="U179" s="67" t="n"/>
      <c r="V179" s="67" t="n"/>
      <c r="W179" s="74" t="n"/>
      <c r="X179" s="67" t="n"/>
      <c r="Y179" s="67" t="n"/>
      <c r="Z179" s="67" t="n"/>
      <c r="AA179" s="67" t="n"/>
      <c r="AB179" s="67" t="n"/>
      <c r="AC179" s="67" t="n"/>
      <c r="AD179" s="67" t="n"/>
      <c r="AE179" s="67" t="n"/>
      <c r="AF179" s="67" t="n"/>
      <c r="AG179" s="67" t="n"/>
      <c r="AH179" s="67" t="n"/>
    </row>
    <row r="180" ht="14.25" customHeight="1">
      <c r="A180" s="70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74" t="n"/>
      <c r="R180" s="74" t="n"/>
      <c r="S180" s="74" t="n"/>
      <c r="T180" s="67" t="n"/>
      <c r="U180" s="67" t="n"/>
      <c r="V180" s="67" t="n"/>
      <c r="W180" s="74" t="n"/>
      <c r="X180" s="67" t="n"/>
      <c r="Y180" s="67" t="n"/>
      <c r="Z180" s="67" t="n"/>
      <c r="AA180" s="67" t="n"/>
      <c r="AB180" s="67" t="n"/>
      <c r="AC180" s="67" t="n"/>
      <c r="AD180" s="67" t="n"/>
      <c r="AE180" s="67" t="n"/>
      <c r="AF180" s="67" t="n"/>
      <c r="AG180" s="67" t="n"/>
      <c r="AH180" s="67" t="n"/>
    </row>
    <row r="181" ht="14.25" customHeight="1">
      <c r="A181" s="70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74" t="n"/>
      <c r="R181" s="74" t="n"/>
      <c r="S181" s="74" t="n"/>
      <c r="T181" s="67" t="n"/>
      <c r="U181" s="67" t="n"/>
      <c r="V181" s="67" t="n"/>
      <c r="W181" s="74" t="n"/>
      <c r="X181" s="67" t="n"/>
      <c r="Y181" s="67" t="n"/>
      <c r="Z181" s="67" t="n"/>
      <c r="AA181" s="67" t="n"/>
      <c r="AB181" s="67" t="n"/>
      <c r="AC181" s="67" t="n"/>
      <c r="AD181" s="67" t="n"/>
      <c r="AE181" s="67" t="n"/>
      <c r="AF181" s="67" t="n"/>
      <c r="AG181" s="67" t="n"/>
      <c r="AH181" s="67" t="n"/>
    </row>
    <row r="182" ht="14.25" customHeight="1">
      <c r="A182" s="70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74" t="n"/>
      <c r="R182" s="74" t="n"/>
      <c r="S182" s="74" t="n"/>
      <c r="T182" s="67" t="n"/>
      <c r="U182" s="67" t="n"/>
      <c r="V182" s="67" t="n"/>
      <c r="W182" s="74" t="n"/>
      <c r="X182" s="67" t="n"/>
      <c r="Y182" s="67" t="n"/>
      <c r="Z182" s="67" t="n"/>
      <c r="AA182" s="67" t="n"/>
      <c r="AB182" s="67" t="n"/>
      <c r="AC182" s="67" t="n"/>
      <c r="AD182" s="67" t="n"/>
      <c r="AE182" s="67" t="n"/>
      <c r="AF182" s="67" t="n"/>
      <c r="AG182" s="67" t="n"/>
      <c r="AH182" s="67" t="n"/>
    </row>
    <row r="183" ht="14.25" customHeight="1">
      <c r="A183" s="70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74" t="n"/>
      <c r="R183" s="74" t="n"/>
      <c r="S183" s="74" t="n"/>
      <c r="T183" s="67" t="n"/>
      <c r="U183" s="67" t="n"/>
      <c r="V183" s="67" t="n"/>
      <c r="W183" s="74" t="n"/>
      <c r="X183" s="67" t="n"/>
      <c r="Y183" s="67" t="n"/>
      <c r="Z183" s="67" t="n"/>
      <c r="AA183" s="67" t="n"/>
      <c r="AB183" s="67" t="n"/>
      <c r="AC183" s="67" t="n"/>
      <c r="AD183" s="67" t="n"/>
      <c r="AE183" s="67" t="n"/>
      <c r="AF183" s="67" t="n"/>
      <c r="AG183" s="67" t="n"/>
      <c r="AH183" s="67" t="n"/>
    </row>
    <row r="184" ht="14.25" customHeight="1">
      <c r="A184" s="70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74" t="n"/>
      <c r="R184" s="74" t="n"/>
      <c r="S184" s="74" t="n"/>
      <c r="T184" s="67" t="n"/>
      <c r="U184" s="67" t="n"/>
      <c r="V184" s="67" t="n"/>
      <c r="W184" s="74" t="n"/>
      <c r="X184" s="67" t="n"/>
      <c r="Y184" s="67" t="n"/>
      <c r="Z184" s="67" t="n"/>
      <c r="AA184" s="67" t="n"/>
      <c r="AB184" s="67" t="n"/>
      <c r="AC184" s="67" t="n"/>
      <c r="AD184" s="67" t="n"/>
      <c r="AE184" s="67" t="n"/>
      <c r="AF184" s="67" t="n"/>
      <c r="AG184" s="67" t="n"/>
      <c r="AH184" s="67" t="n"/>
    </row>
    <row r="185" ht="14.25" customHeight="1">
      <c r="A185" s="70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74" t="n"/>
      <c r="R185" s="74" t="n"/>
      <c r="S185" s="74" t="n"/>
      <c r="T185" s="67" t="n"/>
      <c r="U185" s="67" t="n"/>
      <c r="V185" s="67" t="n"/>
      <c r="W185" s="74" t="n"/>
      <c r="X185" s="67" t="n"/>
      <c r="Y185" s="67" t="n"/>
      <c r="Z185" s="67" t="n"/>
      <c r="AA185" s="67" t="n"/>
      <c r="AB185" s="67" t="n"/>
      <c r="AC185" s="67" t="n"/>
      <c r="AD185" s="67" t="n"/>
      <c r="AE185" s="67" t="n"/>
      <c r="AF185" s="67" t="n"/>
      <c r="AG185" s="67" t="n"/>
      <c r="AH185" s="67" t="n"/>
    </row>
    <row r="186" ht="14.25" customHeight="1">
      <c r="A186" s="70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74" t="n"/>
      <c r="R186" s="74" t="n"/>
      <c r="S186" s="74" t="n"/>
      <c r="T186" s="67" t="n"/>
      <c r="U186" s="67" t="n"/>
      <c r="V186" s="67" t="n"/>
      <c r="W186" s="74" t="n"/>
      <c r="X186" s="67" t="n"/>
      <c r="Y186" s="67" t="n"/>
      <c r="Z186" s="67" t="n"/>
      <c r="AA186" s="67" t="n"/>
      <c r="AB186" s="67" t="n"/>
      <c r="AC186" s="67" t="n"/>
      <c r="AD186" s="67" t="n"/>
      <c r="AE186" s="67" t="n"/>
      <c r="AF186" s="67" t="n"/>
      <c r="AG186" s="67" t="n"/>
      <c r="AH186" s="67" t="n"/>
    </row>
    <row r="187" ht="14.25" customHeight="1">
      <c r="A187" s="70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74" t="n"/>
      <c r="R187" s="74" t="n"/>
      <c r="S187" s="74" t="n"/>
      <c r="T187" s="67" t="n"/>
      <c r="U187" s="67" t="n"/>
      <c r="V187" s="67" t="n"/>
      <c r="W187" s="74" t="n"/>
      <c r="X187" s="67" t="n"/>
      <c r="Y187" s="67" t="n"/>
      <c r="Z187" s="67" t="n"/>
      <c r="AA187" s="67" t="n"/>
      <c r="AB187" s="67" t="n"/>
      <c r="AC187" s="67" t="n"/>
      <c r="AD187" s="67" t="n"/>
      <c r="AE187" s="67" t="n"/>
      <c r="AF187" s="67" t="n"/>
      <c r="AG187" s="67" t="n"/>
      <c r="AH187" s="67" t="n"/>
    </row>
    <row r="188" ht="14.25" customHeight="1">
      <c r="A188" s="70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74" t="n"/>
      <c r="R188" s="74" t="n"/>
      <c r="S188" s="74" t="n"/>
      <c r="T188" s="67" t="n"/>
      <c r="U188" s="67" t="n"/>
      <c r="V188" s="67" t="n"/>
      <c r="W188" s="74" t="n"/>
      <c r="X188" s="67" t="n"/>
      <c r="Y188" s="67" t="n"/>
      <c r="Z188" s="67" t="n"/>
      <c r="AA188" s="67" t="n"/>
      <c r="AB188" s="67" t="n"/>
      <c r="AC188" s="67" t="n"/>
      <c r="AD188" s="67" t="n"/>
      <c r="AE188" s="67" t="n"/>
      <c r="AF188" s="67" t="n"/>
      <c r="AG188" s="67" t="n"/>
      <c r="AH188" s="67" t="n"/>
    </row>
    <row r="189" ht="14.25" customHeight="1">
      <c r="A189" s="70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74" t="n"/>
      <c r="R189" s="74" t="n"/>
      <c r="S189" s="74" t="n"/>
      <c r="T189" s="67" t="n"/>
      <c r="U189" s="67" t="n"/>
      <c r="V189" s="67" t="n"/>
      <c r="W189" s="74" t="n"/>
      <c r="X189" s="67" t="n"/>
      <c r="Y189" s="67" t="n"/>
      <c r="Z189" s="67" t="n"/>
      <c r="AA189" s="67" t="n"/>
      <c r="AB189" s="67" t="n"/>
      <c r="AC189" s="67" t="n"/>
      <c r="AD189" s="67" t="n"/>
      <c r="AE189" s="67" t="n"/>
      <c r="AF189" s="67" t="n"/>
      <c r="AG189" s="67" t="n"/>
      <c r="AH189" s="67" t="n"/>
    </row>
    <row r="190" ht="14.25" customHeight="1">
      <c r="A190" s="70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74" t="n"/>
      <c r="R190" s="74" t="n"/>
      <c r="S190" s="74" t="n"/>
      <c r="T190" s="67" t="n"/>
      <c r="U190" s="67" t="n"/>
      <c r="V190" s="67" t="n"/>
      <c r="W190" s="74" t="n"/>
      <c r="X190" s="67" t="n"/>
      <c r="Y190" s="67" t="n"/>
      <c r="Z190" s="67" t="n"/>
      <c r="AA190" s="67" t="n"/>
      <c r="AB190" s="67" t="n"/>
      <c r="AC190" s="67" t="n"/>
      <c r="AD190" s="67" t="n"/>
      <c r="AE190" s="67" t="n"/>
      <c r="AF190" s="67" t="n"/>
      <c r="AG190" s="67" t="n"/>
      <c r="AH190" s="67" t="n"/>
    </row>
    <row r="191" ht="14.25" customHeight="1">
      <c r="A191" s="70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74" t="n"/>
      <c r="R191" s="74" t="n"/>
      <c r="S191" s="74" t="n"/>
      <c r="T191" s="67" t="n"/>
      <c r="U191" s="67" t="n"/>
      <c r="V191" s="67" t="n"/>
      <c r="W191" s="74" t="n"/>
      <c r="X191" s="67" t="n"/>
      <c r="Y191" s="67" t="n"/>
      <c r="Z191" s="67" t="n"/>
      <c r="AA191" s="67" t="n"/>
      <c r="AB191" s="67" t="n"/>
      <c r="AC191" s="67" t="n"/>
      <c r="AD191" s="67" t="n"/>
      <c r="AE191" s="67" t="n"/>
      <c r="AF191" s="67" t="n"/>
      <c r="AG191" s="67" t="n"/>
      <c r="AH191" s="67" t="n"/>
    </row>
    <row r="192" ht="14.25" customHeight="1">
      <c r="A192" s="70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74" t="n"/>
      <c r="R192" s="74" t="n"/>
      <c r="S192" s="74" t="n"/>
      <c r="T192" s="67" t="n"/>
      <c r="U192" s="67" t="n"/>
      <c r="V192" s="67" t="n"/>
      <c r="W192" s="74" t="n"/>
      <c r="X192" s="67" t="n"/>
      <c r="Y192" s="67" t="n"/>
      <c r="Z192" s="67" t="n"/>
      <c r="AA192" s="67" t="n"/>
      <c r="AB192" s="67" t="n"/>
      <c r="AC192" s="67" t="n"/>
      <c r="AD192" s="67" t="n"/>
      <c r="AE192" s="67" t="n"/>
      <c r="AF192" s="67" t="n"/>
      <c r="AG192" s="67" t="n"/>
      <c r="AH192" s="67" t="n"/>
    </row>
    <row r="193" ht="14.25" customHeight="1">
      <c r="A193" s="70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74" t="n"/>
      <c r="R193" s="74" t="n"/>
      <c r="S193" s="74" t="n"/>
      <c r="T193" s="67" t="n"/>
      <c r="U193" s="67" t="n"/>
      <c r="V193" s="67" t="n"/>
      <c r="W193" s="74" t="n"/>
      <c r="X193" s="67" t="n"/>
      <c r="Y193" s="67" t="n"/>
      <c r="Z193" s="67" t="n"/>
      <c r="AA193" s="67" t="n"/>
      <c r="AB193" s="67" t="n"/>
      <c r="AC193" s="67" t="n"/>
      <c r="AD193" s="67" t="n"/>
      <c r="AE193" s="67" t="n"/>
      <c r="AF193" s="67" t="n"/>
      <c r="AG193" s="67" t="n"/>
      <c r="AH193" s="67" t="n"/>
    </row>
    <row r="194" ht="14.25" customHeight="1">
      <c r="A194" s="70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74" t="n"/>
      <c r="R194" s="74" t="n"/>
      <c r="S194" s="74" t="n"/>
      <c r="T194" s="67" t="n"/>
      <c r="U194" s="67" t="n"/>
      <c r="V194" s="67" t="n"/>
      <c r="W194" s="74" t="n"/>
      <c r="X194" s="67" t="n"/>
      <c r="Y194" s="67" t="n"/>
      <c r="Z194" s="67" t="n"/>
      <c r="AA194" s="67" t="n"/>
      <c r="AB194" s="67" t="n"/>
      <c r="AC194" s="67" t="n"/>
      <c r="AD194" s="67" t="n"/>
      <c r="AE194" s="67" t="n"/>
      <c r="AF194" s="67" t="n"/>
      <c r="AG194" s="67" t="n"/>
      <c r="AH194" s="67" t="n"/>
    </row>
    <row r="195" ht="14.25" customHeight="1">
      <c r="A195" s="70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74" t="n"/>
      <c r="R195" s="74" t="n"/>
      <c r="S195" s="74" t="n"/>
      <c r="T195" s="67" t="n"/>
      <c r="U195" s="67" t="n"/>
      <c r="V195" s="67" t="n"/>
      <c r="W195" s="74" t="n"/>
      <c r="X195" s="67" t="n"/>
      <c r="Y195" s="67" t="n"/>
      <c r="Z195" s="67" t="n"/>
      <c r="AA195" s="67" t="n"/>
      <c r="AB195" s="67" t="n"/>
      <c r="AC195" s="67" t="n"/>
      <c r="AD195" s="67" t="n"/>
      <c r="AE195" s="67" t="n"/>
      <c r="AF195" s="67" t="n"/>
      <c r="AG195" s="67" t="n"/>
      <c r="AH195" s="67" t="n"/>
    </row>
    <row r="196" ht="14.25" customHeight="1">
      <c r="A196" s="70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74" t="n"/>
      <c r="R196" s="74" t="n"/>
      <c r="S196" s="74" t="n"/>
      <c r="T196" s="67" t="n"/>
      <c r="U196" s="67" t="n"/>
      <c r="V196" s="67" t="n"/>
      <c r="W196" s="74" t="n"/>
      <c r="X196" s="67" t="n"/>
      <c r="Y196" s="67" t="n"/>
      <c r="Z196" s="67" t="n"/>
      <c r="AA196" s="67" t="n"/>
      <c r="AB196" s="67" t="n"/>
      <c r="AC196" s="67" t="n"/>
      <c r="AD196" s="67" t="n"/>
      <c r="AE196" s="67" t="n"/>
      <c r="AF196" s="67" t="n"/>
      <c r="AG196" s="67" t="n"/>
      <c r="AH196" s="67" t="n"/>
    </row>
    <row r="197" ht="14.25" customHeight="1">
      <c r="A197" s="70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74" t="n"/>
      <c r="R197" s="74" t="n"/>
      <c r="S197" s="74" t="n"/>
      <c r="T197" s="67" t="n"/>
      <c r="U197" s="67" t="n"/>
      <c r="V197" s="67" t="n"/>
      <c r="W197" s="74" t="n"/>
      <c r="X197" s="67" t="n"/>
      <c r="Y197" s="67" t="n"/>
      <c r="Z197" s="67" t="n"/>
      <c r="AA197" s="67" t="n"/>
      <c r="AB197" s="67" t="n"/>
      <c r="AC197" s="67" t="n"/>
      <c r="AD197" s="67" t="n"/>
      <c r="AE197" s="67" t="n"/>
      <c r="AF197" s="67" t="n"/>
      <c r="AG197" s="67" t="n"/>
      <c r="AH197" s="67" t="n"/>
    </row>
    <row r="198" ht="14.25" customHeight="1">
      <c r="A198" s="70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74" t="n"/>
      <c r="R198" s="74" t="n"/>
      <c r="S198" s="74" t="n"/>
      <c r="T198" s="67" t="n"/>
      <c r="U198" s="67" t="n"/>
      <c r="V198" s="67" t="n"/>
      <c r="W198" s="74" t="n"/>
      <c r="X198" s="67" t="n"/>
      <c r="Y198" s="67" t="n"/>
      <c r="Z198" s="67" t="n"/>
      <c r="AA198" s="67" t="n"/>
      <c r="AB198" s="67" t="n"/>
      <c r="AC198" s="67" t="n"/>
      <c r="AD198" s="67" t="n"/>
      <c r="AE198" s="67" t="n"/>
      <c r="AF198" s="67" t="n"/>
      <c r="AG198" s="67" t="n"/>
      <c r="AH198" s="67" t="n"/>
    </row>
    <row r="199" ht="14.25" customHeight="1">
      <c r="A199" s="70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74" t="n"/>
      <c r="R199" s="74" t="n"/>
      <c r="S199" s="74" t="n"/>
      <c r="T199" s="67" t="n"/>
      <c r="U199" s="67" t="n"/>
      <c r="V199" s="67" t="n"/>
      <c r="W199" s="74" t="n"/>
      <c r="X199" s="67" t="n"/>
      <c r="Y199" s="67" t="n"/>
      <c r="Z199" s="67" t="n"/>
      <c r="AA199" s="67" t="n"/>
      <c r="AB199" s="67" t="n"/>
      <c r="AC199" s="67" t="n"/>
      <c r="AD199" s="67" t="n"/>
      <c r="AE199" s="67" t="n"/>
      <c r="AF199" s="67" t="n"/>
      <c r="AG199" s="67" t="n"/>
      <c r="AH199" s="67" t="n"/>
    </row>
    <row r="200" ht="14.25" customHeight="1">
      <c r="A200" s="70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74" t="n"/>
      <c r="R200" s="74" t="n"/>
      <c r="S200" s="74" t="n"/>
      <c r="T200" s="67" t="n"/>
      <c r="U200" s="67" t="n"/>
      <c r="V200" s="67" t="n"/>
      <c r="W200" s="74" t="n"/>
      <c r="X200" s="67" t="n"/>
      <c r="Y200" s="67" t="n"/>
      <c r="Z200" s="67" t="n"/>
      <c r="AA200" s="67" t="n"/>
      <c r="AB200" s="67" t="n"/>
      <c r="AC200" s="67" t="n"/>
      <c r="AD200" s="67" t="n"/>
      <c r="AE200" s="67" t="n"/>
      <c r="AF200" s="67" t="n"/>
      <c r="AG200" s="67" t="n"/>
      <c r="AH200" s="67" t="n"/>
    </row>
    <row r="201" ht="14.25" customHeight="1">
      <c r="A201" s="70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74" t="n"/>
      <c r="R201" s="74" t="n"/>
      <c r="S201" s="74" t="n"/>
      <c r="T201" s="67" t="n"/>
      <c r="U201" s="67" t="n"/>
      <c r="V201" s="67" t="n"/>
      <c r="W201" s="74" t="n"/>
      <c r="X201" s="67" t="n"/>
      <c r="Y201" s="67" t="n"/>
      <c r="Z201" s="67" t="n"/>
      <c r="AA201" s="67" t="n"/>
      <c r="AB201" s="67" t="n"/>
      <c r="AC201" s="67" t="n"/>
      <c r="AD201" s="67" t="n"/>
      <c r="AE201" s="67" t="n"/>
      <c r="AF201" s="67" t="n"/>
      <c r="AG201" s="67" t="n"/>
      <c r="AH201" s="67" t="n"/>
    </row>
    <row r="202" ht="14.25" customHeight="1">
      <c r="A202" s="70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74" t="n"/>
      <c r="R202" s="74" t="n"/>
      <c r="S202" s="74" t="n"/>
      <c r="T202" s="67" t="n"/>
      <c r="U202" s="67" t="n"/>
      <c r="V202" s="67" t="n"/>
      <c r="W202" s="74" t="n"/>
      <c r="X202" s="67" t="n"/>
      <c r="Y202" s="67" t="n"/>
      <c r="Z202" s="67" t="n"/>
      <c r="AA202" s="67" t="n"/>
      <c r="AB202" s="67" t="n"/>
      <c r="AC202" s="67" t="n"/>
      <c r="AD202" s="67" t="n"/>
      <c r="AE202" s="67" t="n"/>
      <c r="AF202" s="67" t="n"/>
      <c r="AG202" s="67" t="n"/>
      <c r="AH202" s="67" t="n"/>
    </row>
    <row r="203" ht="14.25" customHeight="1">
      <c r="A203" s="70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74" t="n"/>
      <c r="R203" s="74" t="n"/>
      <c r="S203" s="74" t="n"/>
      <c r="T203" s="67" t="n"/>
      <c r="U203" s="67" t="n"/>
      <c r="V203" s="67" t="n"/>
      <c r="W203" s="74" t="n"/>
      <c r="X203" s="67" t="n"/>
      <c r="Y203" s="67" t="n"/>
      <c r="Z203" s="67" t="n"/>
      <c r="AA203" s="67" t="n"/>
      <c r="AB203" s="67" t="n"/>
      <c r="AC203" s="67" t="n"/>
      <c r="AD203" s="67" t="n"/>
      <c r="AE203" s="67" t="n"/>
      <c r="AF203" s="67" t="n"/>
      <c r="AG203" s="67" t="n"/>
      <c r="AH203" s="67" t="n"/>
    </row>
    <row r="204" ht="14.25" customHeight="1">
      <c r="A204" s="70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74" t="n"/>
      <c r="R204" s="74" t="n"/>
      <c r="S204" s="74" t="n"/>
      <c r="T204" s="67" t="n"/>
      <c r="U204" s="67" t="n"/>
      <c r="V204" s="67" t="n"/>
      <c r="W204" s="74" t="n"/>
      <c r="X204" s="67" t="n"/>
      <c r="Y204" s="67" t="n"/>
      <c r="Z204" s="67" t="n"/>
      <c r="AA204" s="67" t="n"/>
      <c r="AB204" s="67" t="n"/>
      <c r="AC204" s="67" t="n"/>
      <c r="AD204" s="67" t="n"/>
      <c r="AE204" s="67" t="n"/>
      <c r="AF204" s="67" t="n"/>
      <c r="AG204" s="67" t="n"/>
      <c r="AH204" s="67" t="n"/>
    </row>
    <row r="205" ht="14.25" customHeight="1">
      <c r="A205" s="70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74" t="n"/>
      <c r="R205" s="74" t="n"/>
      <c r="S205" s="74" t="n"/>
      <c r="T205" s="67" t="n"/>
      <c r="U205" s="67" t="n"/>
      <c r="V205" s="67" t="n"/>
      <c r="W205" s="74" t="n"/>
      <c r="X205" s="67" t="n"/>
      <c r="Y205" s="67" t="n"/>
      <c r="Z205" s="67" t="n"/>
      <c r="AA205" s="67" t="n"/>
      <c r="AB205" s="67" t="n"/>
      <c r="AC205" s="67" t="n"/>
      <c r="AD205" s="67" t="n"/>
      <c r="AE205" s="67" t="n"/>
      <c r="AF205" s="67" t="n"/>
      <c r="AG205" s="67" t="n"/>
      <c r="AH205" s="67" t="n"/>
    </row>
    <row r="206" ht="14.25" customHeight="1">
      <c r="A206" s="70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74" t="n"/>
      <c r="R206" s="74" t="n"/>
      <c r="S206" s="74" t="n"/>
      <c r="T206" s="67" t="n"/>
      <c r="U206" s="67" t="n"/>
      <c r="V206" s="67" t="n"/>
      <c r="W206" s="74" t="n"/>
      <c r="X206" s="67" t="n"/>
      <c r="Y206" s="67" t="n"/>
      <c r="Z206" s="67" t="n"/>
      <c r="AA206" s="67" t="n"/>
      <c r="AB206" s="67" t="n"/>
      <c r="AC206" s="67" t="n"/>
      <c r="AD206" s="67" t="n"/>
      <c r="AE206" s="67" t="n"/>
      <c r="AF206" s="67" t="n"/>
      <c r="AG206" s="67" t="n"/>
      <c r="AH206" s="67" t="n"/>
    </row>
    <row r="207" ht="14.25" customHeight="1">
      <c r="A207" s="70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74" t="n"/>
      <c r="R207" s="74" t="n"/>
      <c r="S207" s="74" t="n"/>
      <c r="T207" s="67" t="n"/>
      <c r="U207" s="67" t="n"/>
      <c r="V207" s="67" t="n"/>
      <c r="W207" s="74" t="n"/>
      <c r="X207" s="67" t="n"/>
      <c r="Y207" s="67" t="n"/>
      <c r="Z207" s="67" t="n"/>
      <c r="AA207" s="67" t="n"/>
      <c r="AB207" s="67" t="n"/>
      <c r="AC207" s="67" t="n"/>
      <c r="AD207" s="67" t="n"/>
      <c r="AE207" s="67" t="n"/>
      <c r="AF207" s="67" t="n"/>
      <c r="AG207" s="67" t="n"/>
      <c r="AH207" s="67" t="n"/>
    </row>
    <row r="208" ht="14.25" customHeight="1">
      <c r="A208" s="70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74" t="n"/>
      <c r="R208" s="74" t="n"/>
      <c r="S208" s="74" t="n"/>
      <c r="T208" s="67" t="n"/>
      <c r="U208" s="67" t="n"/>
      <c r="V208" s="67" t="n"/>
      <c r="W208" s="74" t="n"/>
      <c r="X208" s="67" t="n"/>
      <c r="Y208" s="67" t="n"/>
      <c r="Z208" s="67" t="n"/>
      <c r="AA208" s="67" t="n"/>
      <c r="AB208" s="67" t="n"/>
      <c r="AC208" s="67" t="n"/>
      <c r="AD208" s="67" t="n"/>
      <c r="AE208" s="67" t="n"/>
      <c r="AF208" s="67" t="n"/>
      <c r="AG208" s="67" t="n"/>
      <c r="AH208" s="67" t="n"/>
    </row>
    <row r="209" ht="14.25" customHeight="1">
      <c r="A209" s="70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74" t="n"/>
      <c r="R209" s="74" t="n"/>
      <c r="S209" s="74" t="n"/>
      <c r="T209" s="67" t="n"/>
      <c r="U209" s="67" t="n"/>
      <c r="V209" s="67" t="n"/>
      <c r="W209" s="74" t="n"/>
      <c r="X209" s="67" t="n"/>
      <c r="Y209" s="67" t="n"/>
      <c r="Z209" s="67" t="n"/>
      <c r="AA209" s="67" t="n"/>
      <c r="AB209" s="67" t="n"/>
      <c r="AC209" s="67" t="n"/>
      <c r="AD209" s="67" t="n"/>
      <c r="AE209" s="67" t="n"/>
      <c r="AF209" s="67" t="n"/>
      <c r="AG209" s="67" t="n"/>
      <c r="AH209" s="67" t="n"/>
    </row>
    <row r="210" ht="14.25" customHeight="1">
      <c r="A210" s="70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74" t="n"/>
      <c r="R210" s="74" t="n"/>
      <c r="S210" s="74" t="n"/>
      <c r="T210" s="67" t="n"/>
      <c r="U210" s="67" t="n"/>
      <c r="V210" s="67" t="n"/>
      <c r="W210" s="74" t="n"/>
      <c r="X210" s="67" t="n"/>
      <c r="Y210" s="67" t="n"/>
      <c r="Z210" s="67" t="n"/>
      <c r="AA210" s="67" t="n"/>
      <c r="AB210" s="67" t="n"/>
      <c r="AC210" s="67" t="n"/>
      <c r="AD210" s="67" t="n"/>
      <c r="AE210" s="67" t="n"/>
      <c r="AF210" s="67" t="n"/>
      <c r="AG210" s="67" t="n"/>
      <c r="AH210" s="67" t="n"/>
    </row>
    <row r="211" ht="14.25" customHeight="1">
      <c r="A211" s="70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74" t="n"/>
      <c r="R211" s="74" t="n"/>
      <c r="S211" s="74" t="n"/>
      <c r="T211" s="67" t="n"/>
      <c r="U211" s="67" t="n"/>
      <c r="V211" s="67" t="n"/>
      <c r="W211" s="74" t="n"/>
      <c r="X211" s="67" t="n"/>
      <c r="Y211" s="67" t="n"/>
      <c r="Z211" s="67" t="n"/>
      <c r="AA211" s="67" t="n"/>
      <c r="AB211" s="67" t="n"/>
      <c r="AC211" s="67" t="n"/>
      <c r="AD211" s="67" t="n"/>
      <c r="AE211" s="67" t="n"/>
      <c r="AF211" s="67" t="n"/>
      <c r="AG211" s="67" t="n"/>
      <c r="AH211" s="67" t="n"/>
    </row>
    <row r="212" ht="14.25" customHeight="1">
      <c r="A212" s="70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74" t="n"/>
      <c r="R212" s="74" t="n"/>
      <c r="S212" s="74" t="n"/>
      <c r="T212" s="67" t="n"/>
      <c r="U212" s="67" t="n"/>
      <c r="V212" s="67" t="n"/>
      <c r="W212" s="74" t="n"/>
      <c r="X212" s="67" t="n"/>
      <c r="Y212" s="67" t="n"/>
      <c r="Z212" s="67" t="n"/>
      <c r="AA212" s="67" t="n"/>
      <c r="AB212" s="67" t="n"/>
      <c r="AC212" s="67" t="n"/>
      <c r="AD212" s="67" t="n"/>
      <c r="AE212" s="67" t="n"/>
      <c r="AF212" s="67" t="n"/>
      <c r="AG212" s="67" t="n"/>
      <c r="AH212" s="67" t="n"/>
    </row>
    <row r="213" ht="14.25" customHeight="1">
      <c r="A213" s="70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74" t="n"/>
      <c r="R213" s="74" t="n"/>
      <c r="S213" s="74" t="n"/>
      <c r="T213" s="67" t="n"/>
      <c r="U213" s="67" t="n"/>
      <c r="V213" s="67" t="n"/>
      <c r="W213" s="74" t="n"/>
      <c r="X213" s="67" t="n"/>
      <c r="Y213" s="67" t="n"/>
      <c r="Z213" s="67" t="n"/>
      <c r="AA213" s="67" t="n"/>
      <c r="AB213" s="67" t="n"/>
      <c r="AC213" s="67" t="n"/>
      <c r="AD213" s="67" t="n"/>
      <c r="AE213" s="67" t="n"/>
      <c r="AF213" s="67" t="n"/>
      <c r="AG213" s="67" t="n"/>
      <c r="AH213" s="67" t="n"/>
    </row>
    <row r="214" ht="14.25" customHeight="1">
      <c r="A214" s="70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74" t="n"/>
      <c r="R214" s="74" t="n"/>
      <c r="S214" s="74" t="n"/>
      <c r="T214" s="67" t="n"/>
      <c r="U214" s="67" t="n"/>
      <c r="V214" s="67" t="n"/>
      <c r="W214" s="74" t="n"/>
      <c r="X214" s="67" t="n"/>
      <c r="Y214" s="67" t="n"/>
      <c r="Z214" s="67" t="n"/>
      <c r="AA214" s="67" t="n"/>
      <c r="AB214" s="67" t="n"/>
      <c r="AC214" s="67" t="n"/>
      <c r="AD214" s="67" t="n"/>
      <c r="AE214" s="67" t="n"/>
      <c r="AF214" s="67" t="n"/>
      <c r="AG214" s="67" t="n"/>
      <c r="AH214" s="67" t="n"/>
    </row>
    <row r="215" ht="14.25" customHeight="1">
      <c r="A215" s="70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74" t="n"/>
      <c r="R215" s="74" t="n"/>
      <c r="S215" s="74" t="n"/>
      <c r="T215" s="67" t="n"/>
      <c r="U215" s="67" t="n"/>
      <c r="V215" s="67" t="n"/>
      <c r="W215" s="74" t="n"/>
      <c r="X215" s="67" t="n"/>
      <c r="Y215" s="67" t="n"/>
      <c r="Z215" s="67" t="n"/>
      <c r="AA215" s="67" t="n"/>
      <c r="AB215" s="67" t="n"/>
      <c r="AC215" s="67" t="n"/>
      <c r="AD215" s="67" t="n"/>
      <c r="AE215" s="67" t="n"/>
      <c r="AF215" s="67" t="n"/>
      <c r="AG215" s="67" t="n"/>
      <c r="AH215" s="67" t="n"/>
    </row>
    <row r="216" ht="14.25" customHeight="1">
      <c r="A216" s="70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74" t="n"/>
      <c r="R216" s="74" t="n"/>
      <c r="S216" s="74" t="n"/>
      <c r="T216" s="67" t="n"/>
      <c r="U216" s="67" t="n"/>
      <c r="V216" s="67" t="n"/>
      <c r="W216" s="74" t="n"/>
      <c r="X216" s="67" t="n"/>
      <c r="Y216" s="67" t="n"/>
      <c r="Z216" s="67" t="n"/>
      <c r="AA216" s="67" t="n"/>
      <c r="AB216" s="67" t="n"/>
      <c r="AC216" s="67" t="n"/>
      <c r="AD216" s="67" t="n"/>
      <c r="AE216" s="67" t="n"/>
      <c r="AF216" s="67" t="n"/>
      <c r="AG216" s="67" t="n"/>
      <c r="AH216" s="67" t="n"/>
    </row>
    <row r="217" ht="14.25" customHeight="1">
      <c r="A217" s="70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74" t="n"/>
      <c r="R217" s="74" t="n"/>
      <c r="S217" s="74" t="n"/>
      <c r="T217" s="67" t="n"/>
      <c r="U217" s="67" t="n"/>
      <c r="V217" s="67" t="n"/>
      <c r="W217" s="74" t="n"/>
      <c r="X217" s="67" t="n"/>
      <c r="Y217" s="67" t="n"/>
      <c r="Z217" s="67" t="n"/>
      <c r="AA217" s="67" t="n"/>
      <c r="AB217" s="67" t="n"/>
      <c r="AC217" s="67" t="n"/>
      <c r="AD217" s="67" t="n"/>
      <c r="AE217" s="67" t="n"/>
      <c r="AF217" s="67" t="n"/>
      <c r="AG217" s="67" t="n"/>
      <c r="AH217" s="67" t="n"/>
    </row>
    <row r="218" ht="14.25" customHeight="1">
      <c r="A218" s="70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74" t="n"/>
      <c r="R218" s="74" t="n"/>
      <c r="S218" s="74" t="n"/>
      <c r="T218" s="67" t="n"/>
      <c r="U218" s="67" t="n"/>
      <c r="V218" s="67" t="n"/>
      <c r="W218" s="74" t="n"/>
      <c r="X218" s="67" t="n"/>
      <c r="Y218" s="67" t="n"/>
      <c r="Z218" s="67" t="n"/>
      <c r="AA218" s="67" t="n"/>
      <c r="AB218" s="67" t="n"/>
      <c r="AC218" s="67" t="n"/>
      <c r="AD218" s="67" t="n"/>
      <c r="AE218" s="67" t="n"/>
      <c r="AF218" s="67" t="n"/>
      <c r="AG218" s="67" t="n"/>
      <c r="AH218" s="67" t="n"/>
    </row>
    <row r="219" ht="14.25" customHeight="1">
      <c r="A219" s="70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74" t="n"/>
      <c r="R219" s="74" t="n"/>
      <c r="S219" s="74" t="n"/>
      <c r="T219" s="67" t="n"/>
      <c r="U219" s="67" t="n"/>
      <c r="V219" s="67" t="n"/>
      <c r="W219" s="74" t="n"/>
      <c r="X219" s="67" t="n"/>
      <c r="Y219" s="67" t="n"/>
      <c r="Z219" s="67" t="n"/>
      <c r="AA219" s="67" t="n"/>
      <c r="AB219" s="67" t="n"/>
      <c r="AC219" s="67" t="n"/>
      <c r="AD219" s="67" t="n"/>
      <c r="AE219" s="67" t="n"/>
      <c r="AF219" s="67" t="n"/>
      <c r="AG219" s="67" t="n"/>
      <c r="AH219" s="67" t="n"/>
    </row>
    <row r="220" ht="14.25" customHeight="1">
      <c r="A220" s="70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74" t="n"/>
      <c r="R220" s="74" t="n"/>
      <c r="S220" s="74" t="n"/>
      <c r="T220" s="67" t="n"/>
      <c r="U220" s="67" t="n"/>
      <c r="V220" s="67" t="n"/>
      <c r="W220" s="74" t="n"/>
      <c r="X220" s="67" t="n"/>
      <c r="Y220" s="67" t="n"/>
      <c r="Z220" s="67" t="n"/>
      <c r="AA220" s="67" t="n"/>
      <c r="AB220" s="67" t="n"/>
      <c r="AC220" s="67" t="n"/>
      <c r="AD220" s="67" t="n"/>
      <c r="AE220" s="67" t="n"/>
      <c r="AF220" s="67" t="n"/>
      <c r="AG220" s="67" t="n"/>
      <c r="AH220" s="67" t="n"/>
    </row>
    <row r="221" ht="14.25" customHeight="1">
      <c r="A221" s="70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74" t="n"/>
      <c r="R221" s="74" t="n"/>
      <c r="S221" s="74" t="n"/>
      <c r="T221" s="67" t="n"/>
      <c r="U221" s="67" t="n"/>
      <c r="V221" s="67" t="n"/>
      <c r="W221" s="74" t="n"/>
      <c r="X221" s="67" t="n"/>
      <c r="Y221" s="67" t="n"/>
      <c r="Z221" s="67" t="n"/>
      <c r="AA221" s="67" t="n"/>
      <c r="AB221" s="67" t="n"/>
      <c r="AC221" s="67" t="n"/>
      <c r="AD221" s="67" t="n"/>
      <c r="AE221" s="67" t="n"/>
      <c r="AF221" s="67" t="n"/>
      <c r="AG221" s="67" t="n"/>
      <c r="AH221" s="67" t="n"/>
    </row>
    <row r="222" ht="14.25" customHeight="1">
      <c r="A222" s="70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74" t="n"/>
      <c r="R222" s="74" t="n"/>
      <c r="S222" s="74" t="n"/>
      <c r="T222" s="67" t="n"/>
      <c r="U222" s="67" t="n"/>
      <c r="V222" s="67" t="n"/>
      <c r="W222" s="74" t="n"/>
      <c r="X222" s="67" t="n"/>
      <c r="Y222" s="67" t="n"/>
      <c r="Z222" s="67" t="n"/>
      <c r="AA222" s="67" t="n"/>
      <c r="AB222" s="67" t="n"/>
      <c r="AC222" s="67" t="n"/>
      <c r="AD222" s="67" t="n"/>
      <c r="AE222" s="67" t="n"/>
      <c r="AF222" s="67" t="n"/>
      <c r="AG222" s="67" t="n"/>
      <c r="AH222" s="67" t="n"/>
    </row>
    <row r="223" ht="14.25" customHeight="1">
      <c r="A223" s="70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74" t="n"/>
      <c r="R223" s="74" t="n"/>
      <c r="S223" s="74" t="n"/>
      <c r="T223" s="67" t="n"/>
      <c r="U223" s="67" t="n"/>
      <c r="V223" s="67" t="n"/>
      <c r="W223" s="74" t="n"/>
      <c r="X223" s="67" t="n"/>
      <c r="Y223" s="67" t="n"/>
      <c r="Z223" s="67" t="n"/>
      <c r="AA223" s="67" t="n"/>
      <c r="AB223" s="67" t="n"/>
      <c r="AC223" s="67" t="n"/>
      <c r="AD223" s="67" t="n"/>
      <c r="AE223" s="67" t="n"/>
      <c r="AF223" s="67" t="n"/>
      <c r="AG223" s="67" t="n"/>
      <c r="AH223" s="67" t="n"/>
    </row>
    <row r="224" ht="14.25" customHeight="1">
      <c r="A224" s="70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74" t="n"/>
      <c r="R224" s="74" t="n"/>
      <c r="S224" s="74" t="n"/>
      <c r="T224" s="67" t="n"/>
      <c r="U224" s="67" t="n"/>
      <c r="V224" s="67" t="n"/>
      <c r="W224" s="74" t="n"/>
      <c r="X224" s="67" t="n"/>
      <c r="Y224" s="67" t="n"/>
      <c r="Z224" s="67" t="n"/>
      <c r="AA224" s="67" t="n"/>
      <c r="AB224" s="67" t="n"/>
      <c r="AC224" s="67" t="n"/>
      <c r="AD224" s="67" t="n"/>
      <c r="AE224" s="67" t="n"/>
      <c r="AF224" s="67" t="n"/>
      <c r="AG224" s="67" t="n"/>
      <c r="AH224" s="67" t="n"/>
    </row>
    <row r="225" ht="14.25" customHeight="1">
      <c r="A225" s="70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74" t="n"/>
      <c r="R225" s="74" t="n"/>
      <c r="S225" s="74" t="n"/>
      <c r="T225" s="67" t="n"/>
      <c r="U225" s="67" t="n"/>
      <c r="V225" s="67" t="n"/>
      <c r="W225" s="74" t="n"/>
      <c r="X225" s="67" t="n"/>
      <c r="Y225" s="67" t="n"/>
      <c r="Z225" s="67" t="n"/>
      <c r="AA225" s="67" t="n"/>
      <c r="AB225" s="67" t="n"/>
      <c r="AC225" s="67" t="n"/>
      <c r="AD225" s="67" t="n"/>
      <c r="AE225" s="67" t="n"/>
      <c r="AF225" s="67" t="n"/>
      <c r="AG225" s="67" t="n"/>
      <c r="AH225" s="67" t="n"/>
    </row>
    <row r="226" ht="14.25" customHeight="1">
      <c r="A226" s="70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74" t="n"/>
      <c r="R226" s="74" t="n"/>
      <c r="S226" s="74" t="n"/>
      <c r="T226" s="67" t="n"/>
      <c r="U226" s="67" t="n"/>
      <c r="V226" s="67" t="n"/>
      <c r="W226" s="74" t="n"/>
      <c r="X226" s="67" t="n"/>
      <c r="Y226" s="67" t="n"/>
      <c r="Z226" s="67" t="n"/>
      <c r="AA226" s="67" t="n"/>
      <c r="AB226" s="67" t="n"/>
      <c r="AC226" s="67" t="n"/>
      <c r="AD226" s="67" t="n"/>
      <c r="AE226" s="67" t="n"/>
      <c r="AF226" s="67" t="n"/>
      <c r="AG226" s="67" t="n"/>
      <c r="AH226" s="67" t="n"/>
    </row>
    <row r="227" ht="14.25" customHeight="1">
      <c r="A227" s="7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74" t="n"/>
      <c r="R227" s="74" t="n"/>
      <c r="S227" s="74" t="n"/>
      <c r="T227" s="67" t="n"/>
      <c r="U227" s="67" t="n"/>
      <c r="V227" s="67" t="n"/>
      <c r="W227" s="74" t="n"/>
      <c r="X227" s="67" t="n"/>
      <c r="Y227" s="67" t="n"/>
      <c r="Z227" s="67" t="n"/>
      <c r="AA227" s="67" t="n"/>
      <c r="AB227" s="67" t="n"/>
      <c r="AC227" s="67" t="n"/>
      <c r="AD227" s="67" t="n"/>
      <c r="AE227" s="67" t="n"/>
      <c r="AF227" s="67" t="n"/>
      <c r="AG227" s="67" t="n"/>
      <c r="AH227" s="67" t="n"/>
    </row>
    <row r="228" ht="14.25" customHeight="1">
      <c r="A228" s="70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74" t="n"/>
      <c r="R228" s="74" t="n"/>
      <c r="S228" s="74" t="n"/>
      <c r="T228" s="67" t="n"/>
      <c r="U228" s="67" t="n"/>
      <c r="V228" s="67" t="n"/>
      <c r="W228" s="74" t="n"/>
      <c r="X228" s="67" t="n"/>
      <c r="Y228" s="67" t="n"/>
      <c r="Z228" s="67" t="n"/>
      <c r="AA228" s="67" t="n"/>
      <c r="AB228" s="67" t="n"/>
      <c r="AC228" s="67" t="n"/>
      <c r="AD228" s="67" t="n"/>
      <c r="AE228" s="67" t="n"/>
      <c r="AF228" s="67" t="n"/>
      <c r="AG228" s="67" t="n"/>
      <c r="AH228" s="67" t="n"/>
    </row>
    <row r="229" ht="14.25" customHeight="1">
      <c r="A229" s="70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74" t="n"/>
      <c r="R229" s="74" t="n"/>
      <c r="S229" s="74" t="n"/>
      <c r="T229" s="67" t="n"/>
      <c r="U229" s="67" t="n"/>
      <c r="V229" s="67" t="n"/>
      <c r="W229" s="74" t="n"/>
      <c r="X229" s="67" t="n"/>
      <c r="Y229" s="67" t="n"/>
      <c r="Z229" s="67" t="n"/>
      <c r="AA229" s="67" t="n"/>
      <c r="AB229" s="67" t="n"/>
      <c r="AC229" s="67" t="n"/>
      <c r="AD229" s="67" t="n"/>
      <c r="AE229" s="67" t="n"/>
      <c r="AF229" s="67" t="n"/>
      <c r="AG229" s="67" t="n"/>
      <c r="AH229" s="67" t="n"/>
    </row>
    <row r="230" ht="14.25" customHeight="1">
      <c r="A230" s="70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74" t="n"/>
      <c r="R230" s="74" t="n"/>
      <c r="S230" s="74" t="n"/>
      <c r="T230" s="67" t="n"/>
      <c r="U230" s="67" t="n"/>
      <c r="V230" s="67" t="n"/>
      <c r="W230" s="74" t="n"/>
      <c r="X230" s="67" t="n"/>
      <c r="Y230" s="67" t="n"/>
      <c r="Z230" s="67" t="n"/>
      <c r="AA230" s="67" t="n"/>
      <c r="AB230" s="67" t="n"/>
      <c r="AC230" s="67" t="n"/>
      <c r="AD230" s="67" t="n"/>
      <c r="AE230" s="67" t="n"/>
      <c r="AF230" s="67" t="n"/>
      <c r="AG230" s="67" t="n"/>
      <c r="AH230" s="67" t="n"/>
    </row>
    <row r="231" ht="15.75" customHeight="1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</row>
    <row r="232" ht="15.75" customHeight="1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</row>
    <row r="233" ht="15.75" customHeight="1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</row>
    <row r="234" ht="15.75" customHeight="1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</row>
    <row r="235" ht="15.75" customHeight="1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</row>
    <row r="236" ht="15.75" customHeight="1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</row>
    <row r="237" ht="15.75" customHeight="1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</row>
    <row r="238" ht="15.75" customHeight="1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</row>
    <row r="239" ht="15.75" customHeight="1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</row>
    <row r="240" ht="15.75" customHeight="1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</row>
    <row r="241" ht="15.75" customHeight="1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</row>
    <row r="242" ht="15.75" customHeight="1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</row>
    <row r="243" ht="15.75" customHeight="1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</row>
    <row r="244" ht="15.75" customHeight="1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</row>
    <row r="245" ht="15.75" customHeight="1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</row>
    <row r="246" ht="15.75" customHeight="1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</row>
    <row r="247" ht="15.75" customHeight="1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</row>
    <row r="248" ht="15.75" customHeight="1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</row>
    <row r="249" ht="15.75" customHeight="1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</row>
    <row r="250" ht="15.75" customHeight="1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</row>
    <row r="251" ht="15.75" customHeight="1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</row>
    <row r="252" ht="15.75" customHeight="1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</row>
    <row r="253" ht="15.75" customHeight="1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</row>
    <row r="254" ht="15.75" customHeight="1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</row>
    <row r="255" ht="15.75" customHeight="1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</row>
    <row r="256" ht="15.75" customHeight="1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</row>
    <row r="257" ht="15.75" customHeight="1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</row>
    <row r="258" ht="15.75" customHeight="1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</row>
    <row r="259" ht="15.75" customHeight="1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</row>
    <row r="260" ht="15.75" customHeight="1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</row>
    <row r="261" ht="15.75" customHeight="1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</row>
    <row r="262" ht="15.75" customHeight="1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</row>
    <row r="263" ht="15.75" customHeight="1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</row>
    <row r="264" ht="15.75" customHeight="1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</row>
    <row r="265" ht="15.75" customHeight="1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</row>
    <row r="266" ht="15.75" customHeight="1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</row>
    <row r="267" ht="15.75" customHeight="1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</row>
    <row r="268" ht="15.75" customHeight="1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</row>
    <row r="269" ht="15.75" customHeight="1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</row>
    <row r="270" ht="15.75" customHeight="1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</row>
    <row r="271" ht="15.75" customHeight="1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</row>
    <row r="272" ht="15.75" customHeight="1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</row>
    <row r="273" ht="15.75" customHeight="1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</row>
    <row r="274" ht="15.75" customHeight="1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</row>
    <row r="275" ht="15.75" customHeight="1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</row>
    <row r="276" ht="15.75" customHeight="1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</row>
    <row r="277" ht="15.75" customHeight="1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</row>
    <row r="278" ht="15.75" customHeight="1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</row>
    <row r="279" ht="15.75" customHeight="1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</row>
    <row r="280" ht="15.75" customHeight="1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</row>
    <row r="281" ht="15.75" customHeight="1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</row>
    <row r="282" ht="15.75" customHeight="1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</row>
    <row r="283" ht="15.75" customHeight="1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</row>
    <row r="284" ht="15.75" customHeight="1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</row>
    <row r="285" ht="15.75" customHeight="1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</row>
    <row r="286" ht="15.75" customHeight="1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</row>
    <row r="287" ht="15.75" customHeight="1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</row>
    <row r="288" ht="15.75" customHeight="1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</row>
    <row r="289" ht="15.75" customHeight="1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</row>
    <row r="290" ht="15.75" customHeight="1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</row>
    <row r="291" ht="15.75" customHeight="1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</row>
    <row r="292" ht="15.75" customHeight="1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</row>
    <row r="293" ht="15.75" customHeight="1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</row>
    <row r="294" ht="15.75" customHeight="1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</row>
    <row r="295" ht="15.75" customHeight="1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</row>
    <row r="296" ht="15.75" customHeight="1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</row>
    <row r="297" ht="15.75" customHeight="1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</row>
    <row r="298" ht="15.75" customHeight="1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</row>
    <row r="299" ht="15.75" customHeight="1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</row>
    <row r="300" ht="15.75" customHeight="1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</row>
    <row r="301" ht="15.75" customHeight="1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</row>
    <row r="302" ht="15.75" customHeight="1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</row>
    <row r="303" ht="15.75" customHeight="1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</row>
    <row r="304" ht="15.75" customHeight="1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</row>
    <row r="305" ht="15.75" customHeight="1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</row>
    <row r="306" ht="15.75" customHeight="1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</row>
    <row r="307" ht="15.75" customHeight="1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</row>
    <row r="308" ht="15.75" customHeight="1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</row>
    <row r="309" ht="15.75" customHeight="1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</row>
    <row r="310" ht="15.75" customHeight="1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</row>
    <row r="311" ht="15.75" customHeight="1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</row>
    <row r="312" ht="15.75" customHeight="1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</row>
    <row r="313" ht="15.75" customHeight="1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</row>
    <row r="314" ht="15.75" customHeight="1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</row>
    <row r="315" ht="15.75" customHeight="1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</row>
    <row r="316" ht="15.75" customHeight="1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</row>
    <row r="317" ht="15.75" customHeight="1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</row>
    <row r="318" ht="15.75" customHeight="1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</row>
    <row r="319" ht="15.75" customHeight="1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</row>
    <row r="320" ht="15.75" customHeight="1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</row>
    <row r="321" ht="15.75" customHeight="1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</row>
    <row r="322" ht="15.75" customHeight="1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</row>
    <row r="323" ht="15.75" customHeight="1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</row>
    <row r="324" ht="15.75" customHeight="1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</row>
    <row r="325" ht="15.75" customHeight="1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</row>
    <row r="326" ht="15.75" customHeight="1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</row>
    <row r="327" ht="15.75" customHeight="1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</row>
    <row r="328" ht="15.75" customHeight="1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</row>
    <row r="329" ht="15.75" customHeight="1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</row>
    <row r="330" ht="15.75" customHeight="1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</row>
    <row r="331" ht="15.75" customHeight="1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</row>
    <row r="332" ht="15.75" customHeight="1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</row>
    <row r="333" ht="15.75" customHeight="1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</row>
    <row r="334" ht="15.75" customHeight="1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</row>
    <row r="335" ht="15.75" customHeight="1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</row>
    <row r="336" ht="15.75" customHeight="1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</row>
    <row r="337" ht="15.75" customHeight="1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</row>
    <row r="338" ht="15.75" customHeight="1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</row>
    <row r="339" ht="15.75" customHeight="1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</row>
    <row r="340" ht="15.75" customHeight="1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</row>
    <row r="341" ht="15.75" customHeight="1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</row>
    <row r="342" ht="15.75" customHeight="1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</row>
    <row r="343" ht="15.75" customHeight="1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</row>
    <row r="344" ht="15.75" customHeight="1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</row>
    <row r="345" ht="15.75" customHeight="1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</row>
    <row r="346" ht="15.75" customHeight="1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</row>
    <row r="347" ht="15.75" customHeight="1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</row>
    <row r="348" ht="15.75" customHeight="1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</row>
    <row r="349" ht="15.75" customHeight="1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</row>
    <row r="350" ht="15.75" customHeight="1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</row>
    <row r="351" ht="15.75" customHeight="1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</row>
    <row r="352" ht="15.75" customHeight="1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</row>
    <row r="353" ht="15.75" customHeight="1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</row>
    <row r="354" ht="15.75" customHeight="1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</row>
    <row r="355" ht="15.75" customHeight="1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</row>
    <row r="356" ht="15.75" customHeight="1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</row>
    <row r="357" ht="15.75" customHeight="1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</row>
    <row r="358" ht="15.75" customHeight="1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</row>
    <row r="359" ht="15.75" customHeight="1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</row>
    <row r="360" ht="15.75" customHeight="1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</row>
    <row r="361" ht="15.75" customHeight="1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</row>
    <row r="362" ht="15.75" customHeight="1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</row>
    <row r="363" ht="15.75" customHeight="1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</row>
    <row r="364" ht="15.75" customHeight="1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</row>
    <row r="365" ht="15.75" customHeight="1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</row>
    <row r="366" ht="15.75" customHeight="1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</row>
    <row r="367" ht="15.75" customHeight="1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</row>
    <row r="368" ht="15.75" customHeight="1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</row>
    <row r="369" ht="15.75" customHeight="1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</row>
    <row r="370" ht="15.75" customHeight="1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</row>
    <row r="371" ht="15.75" customHeight="1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</row>
    <row r="372" ht="15.75" customHeight="1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</row>
    <row r="373" ht="15.75" customHeight="1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</row>
    <row r="374" ht="15.75" customHeight="1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</row>
    <row r="375" ht="15.75" customHeight="1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</row>
    <row r="376" ht="15.75" customHeight="1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</row>
    <row r="377" ht="15.75" customHeight="1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</row>
    <row r="378" ht="15.75" customHeight="1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</row>
    <row r="379" ht="15.75" customHeight="1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</row>
    <row r="380" ht="15.75" customHeight="1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</row>
    <row r="381" ht="15.75" customHeight="1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</row>
    <row r="382" ht="15.75" customHeight="1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</row>
    <row r="383" ht="15.75" customHeight="1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</row>
    <row r="384" ht="15.75" customHeight="1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</row>
    <row r="385" ht="15.75" customHeight="1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</row>
    <row r="386" ht="15.75" customHeight="1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</row>
    <row r="387" ht="15.75" customHeight="1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</row>
    <row r="388" ht="15.75" customHeight="1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</row>
    <row r="389" ht="15.75" customHeight="1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</row>
    <row r="390" ht="15.75" customHeight="1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</row>
    <row r="391" ht="15.75" customHeight="1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</row>
    <row r="392" ht="15.75" customHeight="1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</row>
    <row r="393" ht="15.75" customHeight="1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</row>
    <row r="394" ht="15.75" customHeight="1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</row>
    <row r="395" ht="15.75" customHeight="1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</row>
    <row r="396" ht="15.75" customHeight="1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</row>
    <row r="397" ht="15.75" customHeight="1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</row>
    <row r="398" ht="15.75" customHeight="1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</row>
    <row r="399" ht="15.75" customHeight="1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</row>
    <row r="400" ht="15.75" customHeight="1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</row>
    <row r="401" ht="15.75" customHeight="1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</row>
    <row r="402" ht="15.75" customHeight="1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</row>
    <row r="403" ht="15.75" customHeight="1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</row>
    <row r="404" ht="15.75" customHeight="1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</row>
    <row r="405" ht="15.75" customHeight="1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</row>
    <row r="406" ht="15.75" customHeight="1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</row>
    <row r="407" ht="15.75" customHeight="1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</row>
    <row r="408" ht="15.75" customHeight="1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</row>
    <row r="409" ht="15.75" customHeight="1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</row>
    <row r="410" ht="15.75" customHeight="1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</row>
    <row r="411" ht="15.75" customHeight="1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</row>
    <row r="412" ht="15.75" customHeight="1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</row>
    <row r="413" ht="15.75" customHeight="1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</row>
    <row r="414" ht="15.75" customHeight="1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</row>
    <row r="415" ht="15.75" customHeight="1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</row>
    <row r="416" ht="15.75" customHeight="1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</row>
    <row r="417" ht="15.75" customHeight="1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</row>
    <row r="418" ht="15.75" customHeight="1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</row>
    <row r="419" ht="15.75" customHeight="1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</row>
    <row r="420" ht="15.75" customHeight="1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</row>
    <row r="421" ht="15.75" customHeight="1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</row>
    <row r="422" ht="15.75" customHeight="1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</row>
    <row r="423" ht="15.75" customHeight="1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</row>
    <row r="424" ht="15.75" customHeight="1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</row>
    <row r="425" ht="15.75" customHeight="1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</row>
    <row r="426" ht="15.75" customHeight="1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</row>
    <row r="427" ht="15.75" customHeight="1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</row>
    <row r="428" ht="15.75" customHeight="1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</row>
    <row r="429" ht="15.75" customHeight="1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</row>
    <row r="430" ht="15.75" customHeight="1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</row>
    <row r="431" ht="15.75" customHeight="1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</row>
    <row r="432" ht="15.75" customHeight="1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</row>
    <row r="433" ht="15.75" customHeight="1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</row>
    <row r="434" ht="15.75" customHeight="1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</row>
    <row r="435" ht="15.75" customHeight="1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</row>
    <row r="436" ht="15.75" customHeight="1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</row>
    <row r="437" ht="15.75" customHeight="1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</row>
    <row r="438" ht="15.75" customHeight="1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</row>
    <row r="439" ht="15.75" customHeight="1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</row>
    <row r="440" ht="15.75" customHeight="1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</row>
    <row r="441" ht="15.75" customHeight="1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</row>
    <row r="442" ht="15.75" customHeight="1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</row>
    <row r="443" ht="15.75" customHeight="1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</row>
    <row r="444" ht="15.75" customHeight="1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</row>
    <row r="445" ht="15.75" customHeight="1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</row>
    <row r="446" ht="15.75" customHeight="1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</row>
    <row r="447" ht="15.75" customHeight="1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</row>
    <row r="448" ht="15.75" customHeight="1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</row>
    <row r="449" ht="15.75" customHeight="1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</row>
    <row r="450" ht="15.75" customHeight="1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</row>
    <row r="451" ht="15.75" customHeight="1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</row>
    <row r="452" ht="15.75" customHeight="1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</row>
    <row r="453" ht="15.75" customHeight="1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</row>
    <row r="454" ht="15.75" customHeight="1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</row>
    <row r="455" ht="15.75" customHeight="1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</row>
    <row r="456" ht="15.75" customHeight="1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</row>
    <row r="457" ht="15.75" customHeight="1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</row>
    <row r="458" ht="15.75" customHeight="1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</row>
    <row r="459" ht="15.75" customHeight="1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</row>
    <row r="460" ht="15.75" customHeight="1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</row>
    <row r="461" ht="15.75" customHeight="1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</row>
    <row r="462" ht="15.75" customHeight="1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</row>
    <row r="463" ht="15.75" customHeight="1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</row>
    <row r="464" ht="15.75" customHeight="1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</row>
    <row r="465" ht="15.75" customHeight="1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</row>
    <row r="466" ht="15.75" customHeight="1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</row>
    <row r="467" ht="15.75" customHeight="1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</row>
    <row r="468" ht="15.75" customHeight="1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</row>
    <row r="469" ht="15.75" customHeight="1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</row>
    <row r="470" ht="15.75" customHeight="1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</row>
    <row r="471" ht="15.75" customHeight="1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</row>
    <row r="472" ht="15.75" customHeight="1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</row>
    <row r="473" ht="15.75" customHeight="1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</row>
    <row r="474" ht="15.75" customHeight="1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</row>
    <row r="475" ht="15.75" customHeight="1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</row>
    <row r="476" ht="15.75" customHeight="1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</row>
    <row r="477" ht="15.75" customHeight="1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</row>
    <row r="478" ht="15.75" customHeight="1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</row>
    <row r="479" ht="15.75" customHeight="1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</row>
    <row r="480" ht="15.75" customHeight="1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</row>
    <row r="481" ht="15.75" customHeight="1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</row>
    <row r="482" ht="15.75" customHeight="1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</row>
    <row r="483" ht="15.75" customHeight="1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</row>
    <row r="484" ht="15.75" customHeight="1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</row>
    <row r="485" ht="15.75" customHeight="1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</row>
    <row r="486" ht="15.75" customHeight="1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</row>
    <row r="487" ht="15.75" customHeight="1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</row>
    <row r="488" ht="15.75" customHeight="1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</row>
    <row r="489" ht="15.75" customHeight="1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</row>
    <row r="490" ht="15.75" customHeight="1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</row>
    <row r="491" ht="15.75" customHeight="1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</row>
    <row r="492" ht="15.75" customHeight="1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</row>
    <row r="493" ht="15.75" customHeight="1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</row>
    <row r="494" ht="15.75" customHeight="1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</row>
    <row r="495" ht="15.75" customHeight="1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</row>
    <row r="496" ht="15.75" customHeight="1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</row>
    <row r="497" ht="15.75" customHeight="1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</row>
    <row r="498" ht="15.75" customHeight="1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</row>
    <row r="499" ht="15.75" customHeight="1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</row>
    <row r="500" ht="15.75" customHeight="1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</row>
    <row r="501" ht="15.75" customHeight="1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</row>
    <row r="502" ht="15.75" customHeight="1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</row>
    <row r="503" ht="15.75" customHeight="1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</row>
    <row r="504" ht="15.75" customHeight="1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</row>
    <row r="505" ht="15.75" customHeight="1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</row>
    <row r="506" ht="15.75" customHeight="1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</row>
    <row r="507" ht="15.75" customHeight="1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</row>
    <row r="508" ht="15.75" customHeight="1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</row>
    <row r="509" ht="15.75" customHeight="1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</row>
    <row r="510" ht="15.75" customHeight="1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</row>
    <row r="511" ht="15.75" customHeight="1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</row>
    <row r="512" ht="15.75" customHeight="1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</row>
    <row r="513" ht="15.75" customHeight="1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</row>
    <row r="514" ht="15.75" customHeight="1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</row>
    <row r="515" ht="15.75" customHeight="1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</row>
    <row r="516" ht="15.75" customHeight="1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</row>
    <row r="517" ht="15.75" customHeight="1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</row>
    <row r="518" ht="15.75" customHeight="1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</row>
    <row r="519" ht="15.75" customHeight="1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</row>
    <row r="520" ht="15.75" customHeight="1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</row>
    <row r="521" ht="15.75" customHeight="1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</row>
    <row r="522" ht="15.75" customHeight="1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1" t="n"/>
      <c r="X522" s="61" t="n"/>
      <c r="Y522" s="61" t="n"/>
      <c r="Z522" s="61" t="n"/>
      <c r="AA522" s="61" t="n"/>
      <c r="AB522" s="61" t="n"/>
      <c r="AC522" s="61" t="n"/>
      <c r="AD522" s="61" t="n"/>
      <c r="AE522" s="61" t="n"/>
      <c r="AF522" s="61" t="n"/>
      <c r="AG522" s="61" t="n"/>
      <c r="AH522" s="61" t="n"/>
    </row>
    <row r="523" ht="15.75" customHeight="1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1" t="n"/>
      <c r="X523" s="61" t="n"/>
      <c r="Y523" s="61" t="n"/>
      <c r="Z523" s="61" t="n"/>
      <c r="AA523" s="61" t="n"/>
      <c r="AB523" s="61" t="n"/>
      <c r="AC523" s="61" t="n"/>
      <c r="AD523" s="61" t="n"/>
      <c r="AE523" s="61" t="n"/>
      <c r="AF523" s="61" t="n"/>
      <c r="AG523" s="61" t="n"/>
      <c r="AH523" s="61" t="n"/>
    </row>
    <row r="524" ht="15.75" customHeight="1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1" t="n"/>
      <c r="X524" s="61" t="n"/>
      <c r="Y524" s="61" t="n"/>
      <c r="Z524" s="61" t="n"/>
      <c r="AA524" s="61" t="n"/>
      <c r="AB524" s="61" t="n"/>
      <c r="AC524" s="61" t="n"/>
      <c r="AD524" s="61" t="n"/>
      <c r="AE524" s="61" t="n"/>
      <c r="AF524" s="61" t="n"/>
      <c r="AG524" s="61" t="n"/>
      <c r="AH524" s="61" t="n"/>
    </row>
    <row r="525" ht="15.75" customHeight="1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1" t="n"/>
      <c r="X525" s="61" t="n"/>
      <c r="Y525" s="61" t="n"/>
      <c r="Z525" s="61" t="n"/>
      <c r="AA525" s="61" t="n"/>
      <c r="AB525" s="61" t="n"/>
      <c r="AC525" s="61" t="n"/>
      <c r="AD525" s="61" t="n"/>
      <c r="AE525" s="61" t="n"/>
      <c r="AF525" s="61" t="n"/>
      <c r="AG525" s="61" t="n"/>
      <c r="AH525" s="61" t="n"/>
    </row>
    <row r="526" ht="15.75" customHeight="1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1" t="n"/>
      <c r="X526" s="61" t="n"/>
      <c r="Y526" s="61" t="n"/>
      <c r="Z526" s="61" t="n"/>
      <c r="AA526" s="61" t="n"/>
      <c r="AB526" s="61" t="n"/>
      <c r="AC526" s="61" t="n"/>
      <c r="AD526" s="61" t="n"/>
      <c r="AE526" s="61" t="n"/>
      <c r="AF526" s="61" t="n"/>
      <c r="AG526" s="61" t="n"/>
      <c r="AH526" s="61" t="n"/>
    </row>
    <row r="527" ht="15.75" customHeight="1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1" t="n"/>
      <c r="X527" s="61" t="n"/>
      <c r="Y527" s="61" t="n"/>
      <c r="Z527" s="61" t="n"/>
      <c r="AA527" s="61" t="n"/>
      <c r="AB527" s="61" t="n"/>
      <c r="AC527" s="61" t="n"/>
      <c r="AD527" s="61" t="n"/>
      <c r="AE527" s="61" t="n"/>
      <c r="AF527" s="61" t="n"/>
      <c r="AG527" s="61" t="n"/>
      <c r="AH527" s="61" t="n"/>
    </row>
    <row r="528" ht="15.75" customHeight="1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1" t="n"/>
      <c r="X528" s="61" t="n"/>
      <c r="Y528" s="61" t="n"/>
      <c r="Z528" s="61" t="n"/>
      <c r="AA528" s="61" t="n"/>
      <c r="AB528" s="61" t="n"/>
      <c r="AC528" s="61" t="n"/>
      <c r="AD528" s="61" t="n"/>
      <c r="AE528" s="61" t="n"/>
      <c r="AF528" s="61" t="n"/>
      <c r="AG528" s="61" t="n"/>
      <c r="AH528" s="61" t="n"/>
    </row>
    <row r="529" ht="15.75" customHeight="1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1" t="n"/>
      <c r="X529" s="61" t="n"/>
      <c r="Y529" s="61" t="n"/>
      <c r="Z529" s="61" t="n"/>
      <c r="AA529" s="61" t="n"/>
      <c r="AB529" s="61" t="n"/>
      <c r="AC529" s="61" t="n"/>
      <c r="AD529" s="61" t="n"/>
      <c r="AE529" s="61" t="n"/>
      <c r="AF529" s="61" t="n"/>
      <c r="AG529" s="61" t="n"/>
      <c r="AH529" s="61" t="n"/>
    </row>
    <row r="530" ht="15.75" customHeight="1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1" t="n"/>
      <c r="X530" s="61" t="n"/>
      <c r="Y530" s="61" t="n"/>
      <c r="Z530" s="61" t="n"/>
      <c r="AA530" s="61" t="n"/>
      <c r="AB530" s="61" t="n"/>
      <c r="AC530" s="61" t="n"/>
      <c r="AD530" s="61" t="n"/>
      <c r="AE530" s="61" t="n"/>
      <c r="AF530" s="61" t="n"/>
      <c r="AG530" s="61" t="n"/>
      <c r="AH530" s="61" t="n"/>
    </row>
    <row r="531" ht="15.75" customHeight="1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1" t="n"/>
      <c r="X531" s="61" t="n"/>
      <c r="Y531" s="61" t="n"/>
      <c r="Z531" s="61" t="n"/>
      <c r="AA531" s="61" t="n"/>
      <c r="AB531" s="61" t="n"/>
      <c r="AC531" s="61" t="n"/>
      <c r="AD531" s="61" t="n"/>
      <c r="AE531" s="61" t="n"/>
      <c r="AF531" s="61" t="n"/>
      <c r="AG531" s="61" t="n"/>
      <c r="AH531" s="61" t="n"/>
    </row>
    <row r="532" ht="15.75" customHeight="1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1" t="n"/>
      <c r="X532" s="61" t="n"/>
      <c r="Y532" s="61" t="n"/>
      <c r="Z532" s="61" t="n"/>
      <c r="AA532" s="61" t="n"/>
      <c r="AB532" s="61" t="n"/>
      <c r="AC532" s="61" t="n"/>
      <c r="AD532" s="61" t="n"/>
      <c r="AE532" s="61" t="n"/>
      <c r="AF532" s="61" t="n"/>
      <c r="AG532" s="61" t="n"/>
      <c r="AH532" s="61" t="n"/>
    </row>
    <row r="533" ht="15.75" customHeight="1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1" t="n"/>
      <c r="X533" s="61" t="n"/>
      <c r="Y533" s="61" t="n"/>
      <c r="Z533" s="61" t="n"/>
      <c r="AA533" s="61" t="n"/>
      <c r="AB533" s="61" t="n"/>
      <c r="AC533" s="61" t="n"/>
      <c r="AD533" s="61" t="n"/>
      <c r="AE533" s="61" t="n"/>
      <c r="AF533" s="61" t="n"/>
      <c r="AG533" s="61" t="n"/>
      <c r="AH533" s="61" t="n"/>
    </row>
    <row r="534" ht="15.75" customHeight="1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1" t="n"/>
      <c r="X534" s="61" t="n"/>
      <c r="Y534" s="61" t="n"/>
      <c r="Z534" s="61" t="n"/>
      <c r="AA534" s="61" t="n"/>
      <c r="AB534" s="61" t="n"/>
      <c r="AC534" s="61" t="n"/>
      <c r="AD534" s="61" t="n"/>
      <c r="AE534" s="61" t="n"/>
      <c r="AF534" s="61" t="n"/>
      <c r="AG534" s="61" t="n"/>
      <c r="AH534" s="61" t="n"/>
    </row>
    <row r="535" ht="15.75" customHeight="1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1" t="n"/>
      <c r="X535" s="61" t="n"/>
      <c r="Y535" s="61" t="n"/>
      <c r="Z535" s="61" t="n"/>
      <c r="AA535" s="61" t="n"/>
      <c r="AB535" s="61" t="n"/>
      <c r="AC535" s="61" t="n"/>
      <c r="AD535" s="61" t="n"/>
      <c r="AE535" s="61" t="n"/>
      <c r="AF535" s="61" t="n"/>
      <c r="AG535" s="61" t="n"/>
      <c r="AH535" s="61" t="n"/>
    </row>
    <row r="536" ht="15.75" customHeight="1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1" t="n"/>
      <c r="X536" s="61" t="n"/>
      <c r="Y536" s="61" t="n"/>
      <c r="Z536" s="61" t="n"/>
      <c r="AA536" s="61" t="n"/>
      <c r="AB536" s="61" t="n"/>
      <c r="AC536" s="61" t="n"/>
      <c r="AD536" s="61" t="n"/>
      <c r="AE536" s="61" t="n"/>
      <c r="AF536" s="61" t="n"/>
      <c r="AG536" s="61" t="n"/>
      <c r="AH536" s="61" t="n"/>
    </row>
    <row r="537" ht="15.75" customHeight="1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1" t="n"/>
      <c r="X537" s="61" t="n"/>
      <c r="Y537" s="61" t="n"/>
      <c r="Z537" s="61" t="n"/>
      <c r="AA537" s="61" t="n"/>
      <c r="AB537" s="61" t="n"/>
      <c r="AC537" s="61" t="n"/>
      <c r="AD537" s="61" t="n"/>
      <c r="AE537" s="61" t="n"/>
      <c r="AF537" s="61" t="n"/>
      <c r="AG537" s="61" t="n"/>
      <c r="AH537" s="61" t="n"/>
    </row>
    <row r="538" ht="15.75" customHeight="1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1" t="n"/>
      <c r="X538" s="61" t="n"/>
      <c r="Y538" s="61" t="n"/>
      <c r="Z538" s="61" t="n"/>
      <c r="AA538" s="61" t="n"/>
      <c r="AB538" s="61" t="n"/>
      <c r="AC538" s="61" t="n"/>
      <c r="AD538" s="61" t="n"/>
      <c r="AE538" s="61" t="n"/>
      <c r="AF538" s="61" t="n"/>
      <c r="AG538" s="61" t="n"/>
      <c r="AH538" s="61" t="n"/>
    </row>
    <row r="539" ht="15.75" customHeight="1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1" t="n"/>
      <c r="X539" s="61" t="n"/>
      <c r="Y539" s="61" t="n"/>
      <c r="Z539" s="61" t="n"/>
      <c r="AA539" s="61" t="n"/>
      <c r="AB539" s="61" t="n"/>
      <c r="AC539" s="61" t="n"/>
      <c r="AD539" s="61" t="n"/>
      <c r="AE539" s="61" t="n"/>
      <c r="AF539" s="61" t="n"/>
      <c r="AG539" s="61" t="n"/>
      <c r="AH539" s="61" t="n"/>
    </row>
    <row r="540" ht="15.75" customHeight="1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1" t="n"/>
      <c r="X540" s="61" t="n"/>
      <c r="Y540" s="61" t="n"/>
      <c r="Z540" s="61" t="n"/>
      <c r="AA540" s="61" t="n"/>
      <c r="AB540" s="61" t="n"/>
      <c r="AC540" s="61" t="n"/>
      <c r="AD540" s="61" t="n"/>
      <c r="AE540" s="61" t="n"/>
      <c r="AF540" s="61" t="n"/>
      <c r="AG540" s="61" t="n"/>
      <c r="AH540" s="61" t="n"/>
    </row>
    <row r="541" ht="15.75" customHeight="1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1" t="n"/>
      <c r="X541" s="61" t="n"/>
      <c r="Y541" s="61" t="n"/>
      <c r="Z541" s="61" t="n"/>
      <c r="AA541" s="61" t="n"/>
      <c r="AB541" s="61" t="n"/>
      <c r="AC541" s="61" t="n"/>
      <c r="AD541" s="61" t="n"/>
      <c r="AE541" s="61" t="n"/>
      <c r="AF541" s="61" t="n"/>
      <c r="AG541" s="61" t="n"/>
      <c r="AH541" s="61" t="n"/>
    </row>
    <row r="542" ht="15.75" customHeight="1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1" t="n"/>
      <c r="X542" s="61" t="n"/>
      <c r="Y542" s="61" t="n"/>
      <c r="Z542" s="61" t="n"/>
      <c r="AA542" s="61" t="n"/>
      <c r="AB542" s="61" t="n"/>
      <c r="AC542" s="61" t="n"/>
      <c r="AD542" s="61" t="n"/>
      <c r="AE542" s="61" t="n"/>
      <c r="AF542" s="61" t="n"/>
      <c r="AG542" s="61" t="n"/>
      <c r="AH542" s="61" t="n"/>
    </row>
    <row r="543" ht="15.75" customHeight="1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1" t="n"/>
      <c r="X543" s="61" t="n"/>
      <c r="Y543" s="61" t="n"/>
      <c r="Z543" s="61" t="n"/>
      <c r="AA543" s="61" t="n"/>
      <c r="AB543" s="61" t="n"/>
      <c r="AC543" s="61" t="n"/>
      <c r="AD543" s="61" t="n"/>
      <c r="AE543" s="61" t="n"/>
      <c r="AF543" s="61" t="n"/>
      <c r="AG543" s="61" t="n"/>
      <c r="AH543" s="61" t="n"/>
    </row>
    <row r="544" ht="15.75" customHeight="1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1" t="n"/>
      <c r="X544" s="61" t="n"/>
      <c r="Y544" s="61" t="n"/>
      <c r="Z544" s="61" t="n"/>
      <c r="AA544" s="61" t="n"/>
      <c r="AB544" s="61" t="n"/>
      <c r="AC544" s="61" t="n"/>
      <c r="AD544" s="61" t="n"/>
      <c r="AE544" s="61" t="n"/>
      <c r="AF544" s="61" t="n"/>
      <c r="AG544" s="61" t="n"/>
      <c r="AH544" s="61" t="n"/>
    </row>
    <row r="545" ht="15.75" customHeight="1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1" t="n"/>
      <c r="X545" s="61" t="n"/>
      <c r="Y545" s="61" t="n"/>
      <c r="Z545" s="61" t="n"/>
      <c r="AA545" s="61" t="n"/>
      <c r="AB545" s="61" t="n"/>
      <c r="AC545" s="61" t="n"/>
      <c r="AD545" s="61" t="n"/>
      <c r="AE545" s="61" t="n"/>
      <c r="AF545" s="61" t="n"/>
      <c r="AG545" s="61" t="n"/>
      <c r="AH545" s="61" t="n"/>
    </row>
    <row r="546" ht="15.75" customHeight="1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1" t="n"/>
      <c r="X546" s="61" t="n"/>
      <c r="Y546" s="61" t="n"/>
      <c r="Z546" s="61" t="n"/>
      <c r="AA546" s="61" t="n"/>
      <c r="AB546" s="61" t="n"/>
      <c r="AC546" s="61" t="n"/>
      <c r="AD546" s="61" t="n"/>
      <c r="AE546" s="61" t="n"/>
      <c r="AF546" s="61" t="n"/>
      <c r="AG546" s="61" t="n"/>
      <c r="AH546" s="61" t="n"/>
    </row>
    <row r="547" ht="15.75" customHeight="1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1" t="n"/>
      <c r="X547" s="61" t="n"/>
      <c r="Y547" s="61" t="n"/>
      <c r="Z547" s="61" t="n"/>
      <c r="AA547" s="61" t="n"/>
      <c r="AB547" s="61" t="n"/>
      <c r="AC547" s="61" t="n"/>
      <c r="AD547" s="61" t="n"/>
      <c r="AE547" s="61" t="n"/>
      <c r="AF547" s="61" t="n"/>
      <c r="AG547" s="61" t="n"/>
      <c r="AH547" s="61" t="n"/>
    </row>
    <row r="548" ht="15.75" customHeight="1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1" t="n"/>
      <c r="X548" s="61" t="n"/>
      <c r="Y548" s="61" t="n"/>
      <c r="Z548" s="61" t="n"/>
      <c r="AA548" s="61" t="n"/>
      <c r="AB548" s="61" t="n"/>
      <c r="AC548" s="61" t="n"/>
      <c r="AD548" s="61" t="n"/>
      <c r="AE548" s="61" t="n"/>
      <c r="AF548" s="61" t="n"/>
      <c r="AG548" s="61" t="n"/>
      <c r="AH548" s="61" t="n"/>
    </row>
    <row r="549" ht="15.75" customHeight="1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1" t="n"/>
      <c r="X549" s="61" t="n"/>
      <c r="Y549" s="61" t="n"/>
      <c r="Z549" s="61" t="n"/>
      <c r="AA549" s="61" t="n"/>
      <c r="AB549" s="61" t="n"/>
      <c r="AC549" s="61" t="n"/>
      <c r="AD549" s="61" t="n"/>
      <c r="AE549" s="61" t="n"/>
      <c r="AF549" s="61" t="n"/>
      <c r="AG549" s="61" t="n"/>
      <c r="AH549" s="61" t="n"/>
    </row>
    <row r="550" ht="15.75" customHeight="1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1" t="n"/>
      <c r="X550" s="61" t="n"/>
      <c r="Y550" s="61" t="n"/>
      <c r="Z550" s="61" t="n"/>
      <c r="AA550" s="61" t="n"/>
      <c r="AB550" s="61" t="n"/>
      <c r="AC550" s="61" t="n"/>
      <c r="AD550" s="61" t="n"/>
      <c r="AE550" s="61" t="n"/>
      <c r="AF550" s="61" t="n"/>
      <c r="AG550" s="61" t="n"/>
      <c r="AH550" s="61" t="n"/>
    </row>
    <row r="551" ht="15.75" customHeight="1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1" t="n"/>
      <c r="X551" s="61" t="n"/>
      <c r="Y551" s="61" t="n"/>
      <c r="Z551" s="61" t="n"/>
      <c r="AA551" s="61" t="n"/>
      <c r="AB551" s="61" t="n"/>
      <c r="AC551" s="61" t="n"/>
      <c r="AD551" s="61" t="n"/>
      <c r="AE551" s="61" t="n"/>
      <c r="AF551" s="61" t="n"/>
      <c r="AG551" s="61" t="n"/>
      <c r="AH551" s="61" t="n"/>
    </row>
    <row r="552" ht="15.75" customHeight="1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1" t="n"/>
      <c r="X552" s="61" t="n"/>
      <c r="Y552" s="61" t="n"/>
      <c r="Z552" s="61" t="n"/>
      <c r="AA552" s="61" t="n"/>
      <c r="AB552" s="61" t="n"/>
      <c r="AC552" s="61" t="n"/>
      <c r="AD552" s="61" t="n"/>
      <c r="AE552" s="61" t="n"/>
      <c r="AF552" s="61" t="n"/>
      <c r="AG552" s="61" t="n"/>
      <c r="AH552" s="61" t="n"/>
    </row>
    <row r="553" ht="15.75" customHeight="1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1" t="n"/>
      <c r="X553" s="61" t="n"/>
      <c r="Y553" s="61" t="n"/>
      <c r="Z553" s="61" t="n"/>
      <c r="AA553" s="61" t="n"/>
      <c r="AB553" s="61" t="n"/>
      <c r="AC553" s="61" t="n"/>
      <c r="AD553" s="61" t="n"/>
      <c r="AE553" s="61" t="n"/>
      <c r="AF553" s="61" t="n"/>
      <c r="AG553" s="61" t="n"/>
      <c r="AH553" s="61" t="n"/>
    </row>
    <row r="554" ht="15.75" customHeight="1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1" t="n"/>
      <c r="X554" s="61" t="n"/>
      <c r="Y554" s="61" t="n"/>
      <c r="Z554" s="61" t="n"/>
      <c r="AA554" s="61" t="n"/>
      <c r="AB554" s="61" t="n"/>
      <c r="AC554" s="61" t="n"/>
      <c r="AD554" s="61" t="n"/>
      <c r="AE554" s="61" t="n"/>
      <c r="AF554" s="61" t="n"/>
      <c r="AG554" s="61" t="n"/>
      <c r="AH554" s="61" t="n"/>
    </row>
    <row r="555" ht="15.75" customHeight="1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1" t="n"/>
      <c r="X555" s="61" t="n"/>
      <c r="Y555" s="61" t="n"/>
      <c r="Z555" s="61" t="n"/>
      <c r="AA555" s="61" t="n"/>
      <c r="AB555" s="61" t="n"/>
      <c r="AC555" s="61" t="n"/>
      <c r="AD555" s="61" t="n"/>
      <c r="AE555" s="61" t="n"/>
      <c r="AF555" s="61" t="n"/>
      <c r="AG555" s="61" t="n"/>
      <c r="AH555" s="61" t="n"/>
    </row>
    <row r="556" ht="15.75" customHeight="1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1" t="n"/>
      <c r="X556" s="61" t="n"/>
      <c r="Y556" s="61" t="n"/>
      <c r="Z556" s="61" t="n"/>
      <c r="AA556" s="61" t="n"/>
      <c r="AB556" s="61" t="n"/>
      <c r="AC556" s="61" t="n"/>
      <c r="AD556" s="61" t="n"/>
      <c r="AE556" s="61" t="n"/>
      <c r="AF556" s="61" t="n"/>
      <c r="AG556" s="61" t="n"/>
      <c r="AH556" s="61" t="n"/>
    </row>
    <row r="557" ht="15.75" customHeight="1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1" t="n"/>
      <c r="X557" s="61" t="n"/>
      <c r="Y557" s="61" t="n"/>
      <c r="Z557" s="61" t="n"/>
      <c r="AA557" s="61" t="n"/>
      <c r="AB557" s="61" t="n"/>
      <c r="AC557" s="61" t="n"/>
      <c r="AD557" s="61" t="n"/>
      <c r="AE557" s="61" t="n"/>
      <c r="AF557" s="61" t="n"/>
      <c r="AG557" s="61" t="n"/>
      <c r="AH557" s="61" t="n"/>
    </row>
    <row r="558" ht="15.75" customHeight="1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1" t="n"/>
      <c r="X558" s="61" t="n"/>
      <c r="Y558" s="61" t="n"/>
      <c r="Z558" s="61" t="n"/>
      <c r="AA558" s="61" t="n"/>
      <c r="AB558" s="61" t="n"/>
      <c r="AC558" s="61" t="n"/>
      <c r="AD558" s="61" t="n"/>
      <c r="AE558" s="61" t="n"/>
      <c r="AF558" s="61" t="n"/>
      <c r="AG558" s="61" t="n"/>
      <c r="AH558" s="61" t="n"/>
    </row>
    <row r="559" ht="15.75" customHeight="1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1" t="n"/>
      <c r="X559" s="61" t="n"/>
      <c r="Y559" s="61" t="n"/>
      <c r="Z559" s="61" t="n"/>
      <c r="AA559" s="61" t="n"/>
      <c r="AB559" s="61" t="n"/>
      <c r="AC559" s="61" t="n"/>
      <c r="AD559" s="61" t="n"/>
      <c r="AE559" s="61" t="n"/>
      <c r="AF559" s="61" t="n"/>
      <c r="AG559" s="61" t="n"/>
      <c r="AH559" s="61" t="n"/>
    </row>
    <row r="560" ht="15.75" customHeight="1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1" t="n"/>
      <c r="X560" s="61" t="n"/>
      <c r="Y560" s="61" t="n"/>
      <c r="Z560" s="61" t="n"/>
      <c r="AA560" s="61" t="n"/>
      <c r="AB560" s="61" t="n"/>
      <c r="AC560" s="61" t="n"/>
      <c r="AD560" s="61" t="n"/>
      <c r="AE560" s="61" t="n"/>
      <c r="AF560" s="61" t="n"/>
      <c r="AG560" s="61" t="n"/>
      <c r="AH560" s="61" t="n"/>
    </row>
    <row r="561" ht="15.75" customHeight="1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1" t="n"/>
      <c r="X561" s="61" t="n"/>
      <c r="Y561" s="61" t="n"/>
      <c r="Z561" s="61" t="n"/>
      <c r="AA561" s="61" t="n"/>
      <c r="AB561" s="61" t="n"/>
      <c r="AC561" s="61" t="n"/>
      <c r="AD561" s="61" t="n"/>
      <c r="AE561" s="61" t="n"/>
      <c r="AF561" s="61" t="n"/>
      <c r="AG561" s="61" t="n"/>
      <c r="AH561" s="61" t="n"/>
    </row>
    <row r="562" ht="15.75" customHeight="1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1" t="n"/>
      <c r="X562" s="61" t="n"/>
      <c r="Y562" s="61" t="n"/>
      <c r="Z562" s="61" t="n"/>
      <c r="AA562" s="61" t="n"/>
      <c r="AB562" s="61" t="n"/>
      <c r="AC562" s="61" t="n"/>
      <c r="AD562" s="61" t="n"/>
      <c r="AE562" s="61" t="n"/>
      <c r="AF562" s="61" t="n"/>
      <c r="AG562" s="61" t="n"/>
      <c r="AH562" s="61" t="n"/>
    </row>
    <row r="563" ht="15.75" customHeight="1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1" t="n"/>
      <c r="X563" s="61" t="n"/>
      <c r="Y563" s="61" t="n"/>
      <c r="Z563" s="61" t="n"/>
      <c r="AA563" s="61" t="n"/>
      <c r="AB563" s="61" t="n"/>
      <c r="AC563" s="61" t="n"/>
      <c r="AD563" s="61" t="n"/>
      <c r="AE563" s="61" t="n"/>
      <c r="AF563" s="61" t="n"/>
      <c r="AG563" s="61" t="n"/>
      <c r="AH563" s="61" t="n"/>
    </row>
    <row r="564" ht="15.75" customHeight="1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1" t="n"/>
      <c r="X564" s="61" t="n"/>
      <c r="Y564" s="61" t="n"/>
      <c r="Z564" s="61" t="n"/>
      <c r="AA564" s="61" t="n"/>
      <c r="AB564" s="61" t="n"/>
      <c r="AC564" s="61" t="n"/>
      <c r="AD564" s="61" t="n"/>
      <c r="AE564" s="61" t="n"/>
      <c r="AF564" s="61" t="n"/>
      <c r="AG564" s="61" t="n"/>
      <c r="AH564" s="61" t="n"/>
    </row>
    <row r="565" ht="15.75" customHeight="1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1" t="n"/>
      <c r="X565" s="61" t="n"/>
      <c r="Y565" s="61" t="n"/>
      <c r="Z565" s="61" t="n"/>
      <c r="AA565" s="61" t="n"/>
      <c r="AB565" s="61" t="n"/>
      <c r="AC565" s="61" t="n"/>
      <c r="AD565" s="61" t="n"/>
      <c r="AE565" s="61" t="n"/>
      <c r="AF565" s="61" t="n"/>
      <c r="AG565" s="61" t="n"/>
      <c r="AH565" s="61" t="n"/>
    </row>
    <row r="566" ht="15.75" customHeight="1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1" t="n"/>
      <c r="X566" s="61" t="n"/>
      <c r="Y566" s="61" t="n"/>
      <c r="Z566" s="61" t="n"/>
      <c r="AA566" s="61" t="n"/>
      <c r="AB566" s="61" t="n"/>
      <c r="AC566" s="61" t="n"/>
      <c r="AD566" s="61" t="n"/>
      <c r="AE566" s="61" t="n"/>
      <c r="AF566" s="61" t="n"/>
      <c r="AG566" s="61" t="n"/>
      <c r="AH566" s="61" t="n"/>
    </row>
    <row r="567" ht="15.75" customHeight="1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1" t="n"/>
      <c r="X567" s="61" t="n"/>
      <c r="Y567" s="61" t="n"/>
      <c r="Z567" s="61" t="n"/>
      <c r="AA567" s="61" t="n"/>
      <c r="AB567" s="61" t="n"/>
      <c r="AC567" s="61" t="n"/>
      <c r="AD567" s="61" t="n"/>
      <c r="AE567" s="61" t="n"/>
      <c r="AF567" s="61" t="n"/>
      <c r="AG567" s="61" t="n"/>
      <c r="AH567" s="61" t="n"/>
    </row>
    <row r="568" ht="15.75" customHeight="1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1" t="n"/>
      <c r="X568" s="61" t="n"/>
      <c r="Y568" s="61" t="n"/>
      <c r="Z568" s="61" t="n"/>
      <c r="AA568" s="61" t="n"/>
      <c r="AB568" s="61" t="n"/>
      <c r="AC568" s="61" t="n"/>
      <c r="AD568" s="61" t="n"/>
      <c r="AE568" s="61" t="n"/>
      <c r="AF568" s="61" t="n"/>
      <c r="AG568" s="61" t="n"/>
      <c r="AH568" s="61" t="n"/>
    </row>
    <row r="569" ht="15.75" customHeight="1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1" t="n"/>
      <c r="X569" s="61" t="n"/>
      <c r="Y569" s="61" t="n"/>
      <c r="Z569" s="61" t="n"/>
      <c r="AA569" s="61" t="n"/>
      <c r="AB569" s="61" t="n"/>
      <c r="AC569" s="61" t="n"/>
      <c r="AD569" s="61" t="n"/>
      <c r="AE569" s="61" t="n"/>
      <c r="AF569" s="61" t="n"/>
      <c r="AG569" s="61" t="n"/>
      <c r="AH569" s="61" t="n"/>
    </row>
    <row r="570" ht="15.75" customHeight="1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1" t="n"/>
      <c r="X570" s="61" t="n"/>
      <c r="Y570" s="61" t="n"/>
      <c r="Z570" s="61" t="n"/>
      <c r="AA570" s="61" t="n"/>
      <c r="AB570" s="61" t="n"/>
      <c r="AC570" s="61" t="n"/>
      <c r="AD570" s="61" t="n"/>
      <c r="AE570" s="61" t="n"/>
      <c r="AF570" s="61" t="n"/>
      <c r="AG570" s="61" t="n"/>
      <c r="AH570" s="61" t="n"/>
    </row>
    <row r="571" ht="15.75" customHeight="1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1" t="n"/>
      <c r="X571" s="61" t="n"/>
      <c r="Y571" s="61" t="n"/>
      <c r="Z571" s="61" t="n"/>
      <c r="AA571" s="61" t="n"/>
      <c r="AB571" s="61" t="n"/>
      <c r="AC571" s="61" t="n"/>
      <c r="AD571" s="61" t="n"/>
      <c r="AE571" s="61" t="n"/>
      <c r="AF571" s="61" t="n"/>
      <c r="AG571" s="61" t="n"/>
      <c r="AH571" s="61" t="n"/>
    </row>
    <row r="572" ht="15.75" customHeight="1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1" t="n"/>
      <c r="X572" s="61" t="n"/>
      <c r="Y572" s="61" t="n"/>
      <c r="Z572" s="61" t="n"/>
      <c r="AA572" s="61" t="n"/>
      <c r="AB572" s="61" t="n"/>
      <c r="AC572" s="61" t="n"/>
      <c r="AD572" s="61" t="n"/>
      <c r="AE572" s="61" t="n"/>
      <c r="AF572" s="61" t="n"/>
      <c r="AG572" s="61" t="n"/>
      <c r="AH572" s="61" t="n"/>
    </row>
    <row r="573" ht="15.75" customHeight="1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1" t="n"/>
      <c r="X573" s="61" t="n"/>
      <c r="Y573" s="61" t="n"/>
      <c r="Z573" s="61" t="n"/>
      <c r="AA573" s="61" t="n"/>
      <c r="AB573" s="61" t="n"/>
      <c r="AC573" s="61" t="n"/>
      <c r="AD573" s="61" t="n"/>
      <c r="AE573" s="61" t="n"/>
      <c r="AF573" s="61" t="n"/>
      <c r="AG573" s="61" t="n"/>
      <c r="AH573" s="61" t="n"/>
    </row>
    <row r="574" ht="15.75" customHeight="1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1" t="n"/>
      <c r="X574" s="61" t="n"/>
      <c r="Y574" s="61" t="n"/>
      <c r="Z574" s="61" t="n"/>
      <c r="AA574" s="61" t="n"/>
      <c r="AB574" s="61" t="n"/>
      <c r="AC574" s="61" t="n"/>
      <c r="AD574" s="61" t="n"/>
      <c r="AE574" s="61" t="n"/>
      <c r="AF574" s="61" t="n"/>
      <c r="AG574" s="61" t="n"/>
      <c r="AH574" s="61" t="n"/>
    </row>
    <row r="575" ht="15.75" customHeight="1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1" t="n"/>
      <c r="X575" s="61" t="n"/>
      <c r="Y575" s="61" t="n"/>
      <c r="Z575" s="61" t="n"/>
      <c r="AA575" s="61" t="n"/>
      <c r="AB575" s="61" t="n"/>
      <c r="AC575" s="61" t="n"/>
      <c r="AD575" s="61" t="n"/>
      <c r="AE575" s="61" t="n"/>
      <c r="AF575" s="61" t="n"/>
      <c r="AG575" s="61" t="n"/>
      <c r="AH575" s="61" t="n"/>
    </row>
    <row r="576" ht="15.75" customHeight="1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1" t="n"/>
      <c r="X576" s="61" t="n"/>
      <c r="Y576" s="61" t="n"/>
      <c r="Z576" s="61" t="n"/>
      <c r="AA576" s="61" t="n"/>
      <c r="AB576" s="61" t="n"/>
      <c r="AC576" s="61" t="n"/>
      <c r="AD576" s="61" t="n"/>
      <c r="AE576" s="61" t="n"/>
      <c r="AF576" s="61" t="n"/>
      <c r="AG576" s="61" t="n"/>
      <c r="AH576" s="61" t="n"/>
    </row>
    <row r="577" ht="15.75" customHeight="1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1" t="n"/>
      <c r="X577" s="61" t="n"/>
      <c r="Y577" s="61" t="n"/>
      <c r="Z577" s="61" t="n"/>
      <c r="AA577" s="61" t="n"/>
      <c r="AB577" s="61" t="n"/>
      <c r="AC577" s="61" t="n"/>
      <c r="AD577" s="61" t="n"/>
      <c r="AE577" s="61" t="n"/>
      <c r="AF577" s="61" t="n"/>
      <c r="AG577" s="61" t="n"/>
      <c r="AH577" s="61" t="n"/>
    </row>
    <row r="578" ht="15.75" customHeight="1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1" t="n"/>
      <c r="X578" s="61" t="n"/>
      <c r="Y578" s="61" t="n"/>
      <c r="Z578" s="61" t="n"/>
      <c r="AA578" s="61" t="n"/>
      <c r="AB578" s="61" t="n"/>
      <c r="AC578" s="61" t="n"/>
      <c r="AD578" s="61" t="n"/>
      <c r="AE578" s="61" t="n"/>
      <c r="AF578" s="61" t="n"/>
      <c r="AG578" s="61" t="n"/>
      <c r="AH578" s="61" t="n"/>
    </row>
    <row r="579" ht="15.75" customHeight="1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1" t="n"/>
      <c r="X579" s="61" t="n"/>
      <c r="Y579" s="61" t="n"/>
      <c r="Z579" s="61" t="n"/>
      <c r="AA579" s="61" t="n"/>
      <c r="AB579" s="61" t="n"/>
      <c r="AC579" s="61" t="n"/>
      <c r="AD579" s="61" t="n"/>
      <c r="AE579" s="61" t="n"/>
      <c r="AF579" s="61" t="n"/>
      <c r="AG579" s="61" t="n"/>
      <c r="AH579" s="61" t="n"/>
    </row>
    <row r="580" ht="15.75" customHeight="1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1" t="n"/>
      <c r="X580" s="61" t="n"/>
      <c r="Y580" s="61" t="n"/>
      <c r="Z580" s="61" t="n"/>
      <c r="AA580" s="61" t="n"/>
      <c r="AB580" s="61" t="n"/>
      <c r="AC580" s="61" t="n"/>
      <c r="AD580" s="61" t="n"/>
      <c r="AE580" s="61" t="n"/>
      <c r="AF580" s="61" t="n"/>
      <c r="AG580" s="61" t="n"/>
      <c r="AH580" s="61" t="n"/>
    </row>
    <row r="581" ht="15.75" customHeight="1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1" t="n"/>
      <c r="X581" s="61" t="n"/>
      <c r="Y581" s="61" t="n"/>
      <c r="Z581" s="61" t="n"/>
      <c r="AA581" s="61" t="n"/>
      <c r="AB581" s="61" t="n"/>
      <c r="AC581" s="61" t="n"/>
      <c r="AD581" s="61" t="n"/>
      <c r="AE581" s="61" t="n"/>
      <c r="AF581" s="61" t="n"/>
      <c r="AG581" s="61" t="n"/>
      <c r="AH581" s="61" t="n"/>
    </row>
    <row r="582" ht="15.75" customHeight="1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1" t="n"/>
      <c r="X582" s="61" t="n"/>
      <c r="Y582" s="61" t="n"/>
      <c r="Z582" s="61" t="n"/>
      <c r="AA582" s="61" t="n"/>
      <c r="AB582" s="61" t="n"/>
      <c r="AC582" s="61" t="n"/>
      <c r="AD582" s="61" t="n"/>
      <c r="AE582" s="61" t="n"/>
      <c r="AF582" s="61" t="n"/>
      <c r="AG582" s="61" t="n"/>
      <c r="AH582" s="61" t="n"/>
    </row>
    <row r="583" ht="15.75" customHeight="1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1" t="n"/>
      <c r="X583" s="61" t="n"/>
      <c r="Y583" s="61" t="n"/>
      <c r="Z583" s="61" t="n"/>
      <c r="AA583" s="61" t="n"/>
      <c r="AB583" s="61" t="n"/>
      <c r="AC583" s="61" t="n"/>
      <c r="AD583" s="61" t="n"/>
      <c r="AE583" s="61" t="n"/>
      <c r="AF583" s="61" t="n"/>
      <c r="AG583" s="61" t="n"/>
      <c r="AH583" s="61" t="n"/>
    </row>
    <row r="584" ht="15.75" customHeight="1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1" t="n"/>
      <c r="X584" s="61" t="n"/>
      <c r="Y584" s="61" t="n"/>
      <c r="Z584" s="61" t="n"/>
      <c r="AA584" s="61" t="n"/>
      <c r="AB584" s="61" t="n"/>
      <c r="AC584" s="61" t="n"/>
      <c r="AD584" s="61" t="n"/>
      <c r="AE584" s="61" t="n"/>
      <c r="AF584" s="61" t="n"/>
      <c r="AG584" s="61" t="n"/>
      <c r="AH584" s="61" t="n"/>
    </row>
    <row r="585" ht="15.75" customHeight="1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1" t="n"/>
      <c r="X585" s="61" t="n"/>
      <c r="Y585" s="61" t="n"/>
      <c r="Z585" s="61" t="n"/>
      <c r="AA585" s="61" t="n"/>
      <c r="AB585" s="61" t="n"/>
      <c r="AC585" s="61" t="n"/>
      <c r="AD585" s="61" t="n"/>
      <c r="AE585" s="61" t="n"/>
      <c r="AF585" s="61" t="n"/>
      <c r="AG585" s="61" t="n"/>
      <c r="AH585" s="61" t="n"/>
    </row>
    <row r="586" ht="15.75" customHeight="1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1" t="n"/>
      <c r="X586" s="61" t="n"/>
      <c r="Y586" s="61" t="n"/>
      <c r="Z586" s="61" t="n"/>
      <c r="AA586" s="61" t="n"/>
      <c r="AB586" s="61" t="n"/>
      <c r="AC586" s="61" t="n"/>
      <c r="AD586" s="61" t="n"/>
      <c r="AE586" s="61" t="n"/>
      <c r="AF586" s="61" t="n"/>
      <c r="AG586" s="61" t="n"/>
      <c r="AH586" s="61" t="n"/>
    </row>
    <row r="587" ht="15.75" customHeight="1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1" t="n"/>
      <c r="X587" s="61" t="n"/>
      <c r="Y587" s="61" t="n"/>
      <c r="Z587" s="61" t="n"/>
      <c r="AA587" s="61" t="n"/>
      <c r="AB587" s="61" t="n"/>
      <c r="AC587" s="61" t="n"/>
      <c r="AD587" s="61" t="n"/>
      <c r="AE587" s="61" t="n"/>
      <c r="AF587" s="61" t="n"/>
      <c r="AG587" s="61" t="n"/>
      <c r="AH587" s="61" t="n"/>
    </row>
    <row r="588" ht="15.75" customHeight="1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1" t="n"/>
      <c r="X588" s="61" t="n"/>
      <c r="Y588" s="61" t="n"/>
      <c r="Z588" s="61" t="n"/>
      <c r="AA588" s="61" t="n"/>
      <c r="AB588" s="61" t="n"/>
      <c r="AC588" s="61" t="n"/>
      <c r="AD588" s="61" t="n"/>
      <c r="AE588" s="61" t="n"/>
      <c r="AF588" s="61" t="n"/>
      <c r="AG588" s="61" t="n"/>
      <c r="AH588" s="61" t="n"/>
    </row>
    <row r="589" ht="15.75" customHeight="1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1" t="n"/>
      <c r="X589" s="61" t="n"/>
      <c r="Y589" s="61" t="n"/>
      <c r="Z589" s="61" t="n"/>
      <c r="AA589" s="61" t="n"/>
      <c r="AB589" s="61" t="n"/>
      <c r="AC589" s="61" t="n"/>
      <c r="AD589" s="61" t="n"/>
      <c r="AE589" s="61" t="n"/>
      <c r="AF589" s="61" t="n"/>
      <c r="AG589" s="61" t="n"/>
      <c r="AH589" s="61" t="n"/>
    </row>
    <row r="590" ht="15.75" customHeight="1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1" t="n"/>
      <c r="X590" s="61" t="n"/>
      <c r="Y590" s="61" t="n"/>
      <c r="Z590" s="61" t="n"/>
      <c r="AA590" s="61" t="n"/>
      <c r="AB590" s="61" t="n"/>
      <c r="AC590" s="61" t="n"/>
      <c r="AD590" s="61" t="n"/>
      <c r="AE590" s="61" t="n"/>
      <c r="AF590" s="61" t="n"/>
      <c r="AG590" s="61" t="n"/>
      <c r="AH590" s="61" t="n"/>
    </row>
    <row r="591" ht="15.75" customHeight="1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1" t="n"/>
      <c r="X591" s="61" t="n"/>
      <c r="Y591" s="61" t="n"/>
      <c r="Z591" s="61" t="n"/>
      <c r="AA591" s="61" t="n"/>
      <c r="AB591" s="61" t="n"/>
      <c r="AC591" s="61" t="n"/>
      <c r="AD591" s="61" t="n"/>
      <c r="AE591" s="61" t="n"/>
      <c r="AF591" s="61" t="n"/>
      <c r="AG591" s="61" t="n"/>
      <c r="AH591" s="61" t="n"/>
    </row>
    <row r="592" ht="15.75" customHeight="1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1" t="n"/>
      <c r="X592" s="61" t="n"/>
      <c r="Y592" s="61" t="n"/>
      <c r="Z592" s="61" t="n"/>
      <c r="AA592" s="61" t="n"/>
      <c r="AB592" s="61" t="n"/>
      <c r="AC592" s="61" t="n"/>
      <c r="AD592" s="61" t="n"/>
      <c r="AE592" s="61" t="n"/>
      <c r="AF592" s="61" t="n"/>
      <c r="AG592" s="61" t="n"/>
      <c r="AH592" s="61" t="n"/>
    </row>
    <row r="593" ht="15.75" customHeight="1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1" t="n"/>
      <c r="X593" s="61" t="n"/>
      <c r="Y593" s="61" t="n"/>
      <c r="Z593" s="61" t="n"/>
      <c r="AA593" s="61" t="n"/>
      <c r="AB593" s="61" t="n"/>
      <c r="AC593" s="61" t="n"/>
      <c r="AD593" s="61" t="n"/>
      <c r="AE593" s="61" t="n"/>
      <c r="AF593" s="61" t="n"/>
      <c r="AG593" s="61" t="n"/>
      <c r="AH593" s="61" t="n"/>
    </row>
    <row r="594" ht="15.75" customHeight="1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1" t="n"/>
      <c r="X594" s="61" t="n"/>
      <c r="Y594" s="61" t="n"/>
      <c r="Z594" s="61" t="n"/>
      <c r="AA594" s="61" t="n"/>
      <c r="AB594" s="61" t="n"/>
      <c r="AC594" s="61" t="n"/>
      <c r="AD594" s="61" t="n"/>
      <c r="AE594" s="61" t="n"/>
      <c r="AF594" s="61" t="n"/>
      <c r="AG594" s="61" t="n"/>
      <c r="AH594" s="61" t="n"/>
    </row>
    <row r="595" ht="15.75" customHeight="1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1" t="n"/>
      <c r="X595" s="61" t="n"/>
      <c r="Y595" s="61" t="n"/>
      <c r="Z595" s="61" t="n"/>
      <c r="AA595" s="61" t="n"/>
      <c r="AB595" s="61" t="n"/>
      <c r="AC595" s="61" t="n"/>
      <c r="AD595" s="61" t="n"/>
      <c r="AE595" s="61" t="n"/>
      <c r="AF595" s="61" t="n"/>
      <c r="AG595" s="61" t="n"/>
      <c r="AH595" s="61" t="n"/>
    </row>
    <row r="596" ht="15.75" customHeight="1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1" t="n"/>
      <c r="X596" s="61" t="n"/>
      <c r="Y596" s="61" t="n"/>
      <c r="Z596" s="61" t="n"/>
      <c r="AA596" s="61" t="n"/>
      <c r="AB596" s="61" t="n"/>
      <c r="AC596" s="61" t="n"/>
      <c r="AD596" s="61" t="n"/>
      <c r="AE596" s="61" t="n"/>
      <c r="AF596" s="61" t="n"/>
      <c r="AG596" s="61" t="n"/>
      <c r="AH596" s="61" t="n"/>
    </row>
    <row r="597" ht="15.75" customHeight="1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1" t="n"/>
      <c r="X597" s="61" t="n"/>
      <c r="Y597" s="61" t="n"/>
      <c r="Z597" s="61" t="n"/>
      <c r="AA597" s="61" t="n"/>
      <c r="AB597" s="61" t="n"/>
      <c r="AC597" s="61" t="n"/>
      <c r="AD597" s="61" t="n"/>
      <c r="AE597" s="61" t="n"/>
      <c r="AF597" s="61" t="n"/>
      <c r="AG597" s="61" t="n"/>
      <c r="AH597" s="61" t="n"/>
    </row>
    <row r="598" ht="15.75" customHeight="1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1" t="n"/>
      <c r="X598" s="61" t="n"/>
      <c r="Y598" s="61" t="n"/>
      <c r="Z598" s="61" t="n"/>
      <c r="AA598" s="61" t="n"/>
      <c r="AB598" s="61" t="n"/>
      <c r="AC598" s="61" t="n"/>
      <c r="AD598" s="61" t="n"/>
      <c r="AE598" s="61" t="n"/>
      <c r="AF598" s="61" t="n"/>
      <c r="AG598" s="61" t="n"/>
      <c r="AH598" s="61" t="n"/>
    </row>
    <row r="599" ht="15.75" customHeight="1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1" t="n"/>
      <c r="X599" s="61" t="n"/>
      <c r="Y599" s="61" t="n"/>
      <c r="Z599" s="61" t="n"/>
      <c r="AA599" s="61" t="n"/>
      <c r="AB599" s="61" t="n"/>
      <c r="AC599" s="61" t="n"/>
      <c r="AD599" s="61" t="n"/>
      <c r="AE599" s="61" t="n"/>
      <c r="AF599" s="61" t="n"/>
      <c r="AG599" s="61" t="n"/>
      <c r="AH599" s="61" t="n"/>
    </row>
    <row r="600" ht="15.75" customHeight="1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1" t="n"/>
      <c r="X600" s="61" t="n"/>
      <c r="Y600" s="61" t="n"/>
      <c r="Z600" s="61" t="n"/>
      <c r="AA600" s="61" t="n"/>
      <c r="AB600" s="61" t="n"/>
      <c r="AC600" s="61" t="n"/>
      <c r="AD600" s="61" t="n"/>
      <c r="AE600" s="61" t="n"/>
      <c r="AF600" s="61" t="n"/>
      <c r="AG600" s="61" t="n"/>
      <c r="AH600" s="61" t="n"/>
    </row>
    <row r="601" ht="15.75" customHeight="1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1" t="n"/>
      <c r="X601" s="61" t="n"/>
      <c r="Y601" s="61" t="n"/>
      <c r="Z601" s="61" t="n"/>
      <c r="AA601" s="61" t="n"/>
      <c r="AB601" s="61" t="n"/>
      <c r="AC601" s="61" t="n"/>
      <c r="AD601" s="61" t="n"/>
      <c r="AE601" s="61" t="n"/>
      <c r="AF601" s="61" t="n"/>
      <c r="AG601" s="61" t="n"/>
      <c r="AH601" s="61" t="n"/>
    </row>
    <row r="602" ht="15.75" customHeight="1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1" t="n"/>
      <c r="X602" s="61" t="n"/>
      <c r="Y602" s="61" t="n"/>
      <c r="Z602" s="61" t="n"/>
      <c r="AA602" s="61" t="n"/>
      <c r="AB602" s="61" t="n"/>
      <c r="AC602" s="61" t="n"/>
      <c r="AD602" s="61" t="n"/>
      <c r="AE602" s="61" t="n"/>
      <c r="AF602" s="61" t="n"/>
      <c r="AG602" s="61" t="n"/>
      <c r="AH602" s="61" t="n"/>
    </row>
    <row r="603" ht="15.75" customHeight="1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1" t="n"/>
      <c r="X603" s="61" t="n"/>
      <c r="Y603" s="61" t="n"/>
      <c r="Z603" s="61" t="n"/>
      <c r="AA603" s="61" t="n"/>
      <c r="AB603" s="61" t="n"/>
      <c r="AC603" s="61" t="n"/>
      <c r="AD603" s="61" t="n"/>
      <c r="AE603" s="61" t="n"/>
      <c r="AF603" s="61" t="n"/>
      <c r="AG603" s="61" t="n"/>
      <c r="AH603" s="61" t="n"/>
    </row>
    <row r="604" ht="15.75" customHeight="1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1" t="n"/>
      <c r="X604" s="61" t="n"/>
      <c r="Y604" s="61" t="n"/>
      <c r="Z604" s="61" t="n"/>
      <c r="AA604" s="61" t="n"/>
      <c r="AB604" s="61" t="n"/>
      <c r="AC604" s="61" t="n"/>
      <c r="AD604" s="61" t="n"/>
      <c r="AE604" s="61" t="n"/>
      <c r="AF604" s="61" t="n"/>
      <c r="AG604" s="61" t="n"/>
      <c r="AH604" s="61" t="n"/>
    </row>
    <row r="605" ht="15.75" customHeight="1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1" t="n"/>
      <c r="X605" s="61" t="n"/>
      <c r="Y605" s="61" t="n"/>
      <c r="Z605" s="61" t="n"/>
      <c r="AA605" s="61" t="n"/>
      <c r="AB605" s="61" t="n"/>
      <c r="AC605" s="61" t="n"/>
      <c r="AD605" s="61" t="n"/>
      <c r="AE605" s="61" t="n"/>
      <c r="AF605" s="61" t="n"/>
      <c r="AG605" s="61" t="n"/>
      <c r="AH605" s="61" t="n"/>
    </row>
    <row r="606" ht="15.75" customHeight="1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1" t="n"/>
      <c r="X606" s="61" t="n"/>
      <c r="Y606" s="61" t="n"/>
      <c r="Z606" s="61" t="n"/>
      <c r="AA606" s="61" t="n"/>
      <c r="AB606" s="61" t="n"/>
      <c r="AC606" s="61" t="n"/>
      <c r="AD606" s="61" t="n"/>
      <c r="AE606" s="61" t="n"/>
      <c r="AF606" s="61" t="n"/>
      <c r="AG606" s="61" t="n"/>
      <c r="AH606" s="61" t="n"/>
    </row>
    <row r="607" ht="15.75" customHeight="1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1" t="n"/>
      <c r="X607" s="61" t="n"/>
      <c r="Y607" s="61" t="n"/>
      <c r="Z607" s="61" t="n"/>
      <c r="AA607" s="61" t="n"/>
      <c r="AB607" s="61" t="n"/>
      <c r="AC607" s="61" t="n"/>
      <c r="AD607" s="61" t="n"/>
      <c r="AE607" s="61" t="n"/>
      <c r="AF607" s="61" t="n"/>
      <c r="AG607" s="61" t="n"/>
      <c r="AH607" s="61" t="n"/>
    </row>
    <row r="608" ht="15.75" customHeight="1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1" t="n"/>
      <c r="X608" s="61" t="n"/>
      <c r="Y608" s="61" t="n"/>
      <c r="Z608" s="61" t="n"/>
      <c r="AA608" s="61" t="n"/>
      <c r="AB608" s="61" t="n"/>
      <c r="AC608" s="61" t="n"/>
      <c r="AD608" s="61" t="n"/>
      <c r="AE608" s="61" t="n"/>
      <c r="AF608" s="61" t="n"/>
      <c r="AG608" s="61" t="n"/>
      <c r="AH608" s="61" t="n"/>
    </row>
    <row r="609" ht="15.75" customHeight="1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1" t="n"/>
      <c r="X609" s="61" t="n"/>
      <c r="Y609" s="61" t="n"/>
      <c r="Z609" s="61" t="n"/>
      <c r="AA609" s="61" t="n"/>
      <c r="AB609" s="61" t="n"/>
      <c r="AC609" s="61" t="n"/>
      <c r="AD609" s="61" t="n"/>
      <c r="AE609" s="61" t="n"/>
      <c r="AF609" s="61" t="n"/>
      <c r="AG609" s="61" t="n"/>
      <c r="AH609" s="61" t="n"/>
    </row>
    <row r="610" ht="15.75" customHeight="1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1" t="n"/>
      <c r="X610" s="61" t="n"/>
      <c r="Y610" s="61" t="n"/>
      <c r="Z610" s="61" t="n"/>
      <c r="AA610" s="61" t="n"/>
      <c r="AB610" s="61" t="n"/>
      <c r="AC610" s="61" t="n"/>
      <c r="AD610" s="61" t="n"/>
      <c r="AE610" s="61" t="n"/>
      <c r="AF610" s="61" t="n"/>
      <c r="AG610" s="61" t="n"/>
      <c r="AH610" s="61" t="n"/>
    </row>
    <row r="611" ht="15.75" customHeight="1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1" t="n"/>
      <c r="X611" s="61" t="n"/>
      <c r="Y611" s="61" t="n"/>
      <c r="Z611" s="61" t="n"/>
      <c r="AA611" s="61" t="n"/>
      <c r="AB611" s="61" t="n"/>
      <c r="AC611" s="61" t="n"/>
      <c r="AD611" s="61" t="n"/>
      <c r="AE611" s="61" t="n"/>
      <c r="AF611" s="61" t="n"/>
      <c r="AG611" s="61" t="n"/>
      <c r="AH611" s="61" t="n"/>
    </row>
    <row r="612" ht="15.75" customHeight="1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1" t="n"/>
      <c r="X612" s="61" t="n"/>
      <c r="Y612" s="61" t="n"/>
      <c r="Z612" s="61" t="n"/>
      <c r="AA612" s="61" t="n"/>
      <c r="AB612" s="61" t="n"/>
      <c r="AC612" s="61" t="n"/>
      <c r="AD612" s="61" t="n"/>
      <c r="AE612" s="61" t="n"/>
      <c r="AF612" s="61" t="n"/>
      <c r="AG612" s="61" t="n"/>
      <c r="AH612" s="61" t="n"/>
    </row>
    <row r="613" ht="15.75" customHeight="1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1" t="n"/>
      <c r="X613" s="61" t="n"/>
      <c r="Y613" s="61" t="n"/>
      <c r="Z613" s="61" t="n"/>
      <c r="AA613" s="61" t="n"/>
      <c r="AB613" s="61" t="n"/>
      <c r="AC613" s="61" t="n"/>
      <c r="AD613" s="61" t="n"/>
      <c r="AE613" s="61" t="n"/>
      <c r="AF613" s="61" t="n"/>
      <c r="AG613" s="61" t="n"/>
      <c r="AH613" s="61" t="n"/>
    </row>
    <row r="614" ht="15.75" customHeight="1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1" t="n"/>
      <c r="X614" s="61" t="n"/>
      <c r="Y614" s="61" t="n"/>
      <c r="Z614" s="61" t="n"/>
      <c r="AA614" s="61" t="n"/>
      <c r="AB614" s="61" t="n"/>
      <c r="AC614" s="61" t="n"/>
      <c r="AD614" s="61" t="n"/>
      <c r="AE614" s="61" t="n"/>
      <c r="AF614" s="61" t="n"/>
      <c r="AG614" s="61" t="n"/>
      <c r="AH614" s="61" t="n"/>
    </row>
    <row r="615" ht="15.75" customHeight="1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1" t="n"/>
      <c r="X615" s="61" t="n"/>
      <c r="Y615" s="61" t="n"/>
      <c r="Z615" s="61" t="n"/>
      <c r="AA615" s="61" t="n"/>
      <c r="AB615" s="61" t="n"/>
      <c r="AC615" s="61" t="n"/>
      <c r="AD615" s="61" t="n"/>
      <c r="AE615" s="61" t="n"/>
      <c r="AF615" s="61" t="n"/>
      <c r="AG615" s="61" t="n"/>
      <c r="AH615" s="61" t="n"/>
    </row>
    <row r="616" ht="15.75" customHeight="1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1" t="n"/>
      <c r="X616" s="61" t="n"/>
      <c r="Y616" s="61" t="n"/>
      <c r="Z616" s="61" t="n"/>
      <c r="AA616" s="61" t="n"/>
      <c r="AB616" s="61" t="n"/>
      <c r="AC616" s="61" t="n"/>
      <c r="AD616" s="61" t="n"/>
      <c r="AE616" s="61" t="n"/>
      <c r="AF616" s="61" t="n"/>
      <c r="AG616" s="61" t="n"/>
      <c r="AH616" s="61" t="n"/>
    </row>
    <row r="617" ht="15.75" customHeight="1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1" t="n"/>
      <c r="X617" s="61" t="n"/>
      <c r="Y617" s="61" t="n"/>
      <c r="Z617" s="61" t="n"/>
      <c r="AA617" s="61" t="n"/>
      <c r="AB617" s="61" t="n"/>
      <c r="AC617" s="61" t="n"/>
      <c r="AD617" s="61" t="n"/>
      <c r="AE617" s="61" t="n"/>
      <c r="AF617" s="61" t="n"/>
      <c r="AG617" s="61" t="n"/>
      <c r="AH617" s="61" t="n"/>
    </row>
    <row r="618" ht="15.75" customHeight="1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1" t="n"/>
      <c r="X618" s="61" t="n"/>
      <c r="Y618" s="61" t="n"/>
      <c r="Z618" s="61" t="n"/>
      <c r="AA618" s="61" t="n"/>
      <c r="AB618" s="61" t="n"/>
      <c r="AC618" s="61" t="n"/>
      <c r="AD618" s="61" t="n"/>
      <c r="AE618" s="61" t="n"/>
      <c r="AF618" s="61" t="n"/>
      <c r="AG618" s="61" t="n"/>
      <c r="AH618" s="61" t="n"/>
    </row>
    <row r="619" ht="15.75" customHeight="1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1" t="n"/>
      <c r="X619" s="61" t="n"/>
      <c r="Y619" s="61" t="n"/>
      <c r="Z619" s="61" t="n"/>
      <c r="AA619" s="61" t="n"/>
      <c r="AB619" s="61" t="n"/>
      <c r="AC619" s="61" t="n"/>
      <c r="AD619" s="61" t="n"/>
      <c r="AE619" s="61" t="n"/>
      <c r="AF619" s="61" t="n"/>
      <c r="AG619" s="61" t="n"/>
      <c r="AH619" s="61" t="n"/>
    </row>
    <row r="620" ht="15.75" customHeight="1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1" t="n"/>
      <c r="X620" s="61" t="n"/>
      <c r="Y620" s="61" t="n"/>
      <c r="Z620" s="61" t="n"/>
      <c r="AA620" s="61" t="n"/>
      <c r="AB620" s="61" t="n"/>
      <c r="AC620" s="61" t="n"/>
      <c r="AD620" s="61" t="n"/>
      <c r="AE620" s="61" t="n"/>
      <c r="AF620" s="61" t="n"/>
      <c r="AG620" s="61" t="n"/>
      <c r="AH620" s="61" t="n"/>
    </row>
    <row r="621" ht="15.75" customHeight="1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1" t="n"/>
      <c r="X621" s="61" t="n"/>
      <c r="Y621" s="61" t="n"/>
      <c r="Z621" s="61" t="n"/>
      <c r="AA621" s="61" t="n"/>
      <c r="AB621" s="61" t="n"/>
      <c r="AC621" s="61" t="n"/>
      <c r="AD621" s="61" t="n"/>
      <c r="AE621" s="61" t="n"/>
      <c r="AF621" s="61" t="n"/>
      <c r="AG621" s="61" t="n"/>
      <c r="AH621" s="61" t="n"/>
    </row>
    <row r="622" ht="15.75" customHeight="1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1" t="n"/>
      <c r="X622" s="61" t="n"/>
      <c r="Y622" s="61" t="n"/>
      <c r="Z622" s="61" t="n"/>
      <c r="AA622" s="61" t="n"/>
      <c r="AB622" s="61" t="n"/>
      <c r="AC622" s="61" t="n"/>
      <c r="AD622" s="61" t="n"/>
      <c r="AE622" s="61" t="n"/>
      <c r="AF622" s="61" t="n"/>
      <c r="AG622" s="61" t="n"/>
      <c r="AH622" s="61" t="n"/>
    </row>
    <row r="623" ht="15.75" customHeight="1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1" t="n"/>
      <c r="X623" s="61" t="n"/>
      <c r="Y623" s="61" t="n"/>
      <c r="Z623" s="61" t="n"/>
      <c r="AA623" s="61" t="n"/>
      <c r="AB623" s="61" t="n"/>
      <c r="AC623" s="61" t="n"/>
      <c r="AD623" s="61" t="n"/>
      <c r="AE623" s="61" t="n"/>
      <c r="AF623" s="61" t="n"/>
      <c r="AG623" s="61" t="n"/>
      <c r="AH623" s="61" t="n"/>
    </row>
    <row r="624" ht="15.75" customHeight="1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1" t="n"/>
      <c r="X624" s="61" t="n"/>
      <c r="Y624" s="61" t="n"/>
      <c r="Z624" s="61" t="n"/>
      <c r="AA624" s="61" t="n"/>
      <c r="AB624" s="61" t="n"/>
      <c r="AC624" s="61" t="n"/>
      <c r="AD624" s="61" t="n"/>
      <c r="AE624" s="61" t="n"/>
      <c r="AF624" s="61" t="n"/>
      <c r="AG624" s="61" t="n"/>
      <c r="AH624" s="61" t="n"/>
    </row>
    <row r="625" ht="15.75" customHeight="1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1" t="n"/>
      <c r="X625" s="61" t="n"/>
      <c r="Y625" s="61" t="n"/>
      <c r="Z625" s="61" t="n"/>
      <c r="AA625" s="61" t="n"/>
      <c r="AB625" s="61" t="n"/>
      <c r="AC625" s="61" t="n"/>
      <c r="AD625" s="61" t="n"/>
      <c r="AE625" s="61" t="n"/>
      <c r="AF625" s="61" t="n"/>
      <c r="AG625" s="61" t="n"/>
      <c r="AH625" s="61" t="n"/>
    </row>
    <row r="626" ht="15.75" customHeight="1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1" t="n"/>
      <c r="X626" s="61" t="n"/>
      <c r="Y626" s="61" t="n"/>
      <c r="Z626" s="61" t="n"/>
      <c r="AA626" s="61" t="n"/>
      <c r="AB626" s="61" t="n"/>
      <c r="AC626" s="61" t="n"/>
      <c r="AD626" s="61" t="n"/>
      <c r="AE626" s="61" t="n"/>
      <c r="AF626" s="61" t="n"/>
      <c r="AG626" s="61" t="n"/>
      <c r="AH626" s="61" t="n"/>
    </row>
    <row r="627" ht="15.75" customHeight="1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1" t="n"/>
      <c r="X627" s="61" t="n"/>
      <c r="Y627" s="61" t="n"/>
      <c r="Z627" s="61" t="n"/>
      <c r="AA627" s="61" t="n"/>
      <c r="AB627" s="61" t="n"/>
      <c r="AC627" s="61" t="n"/>
      <c r="AD627" s="61" t="n"/>
      <c r="AE627" s="61" t="n"/>
      <c r="AF627" s="61" t="n"/>
      <c r="AG627" s="61" t="n"/>
      <c r="AH627" s="61" t="n"/>
    </row>
    <row r="628" ht="15.75" customHeight="1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1" t="n"/>
      <c r="X628" s="61" t="n"/>
      <c r="Y628" s="61" t="n"/>
      <c r="Z628" s="61" t="n"/>
      <c r="AA628" s="61" t="n"/>
      <c r="AB628" s="61" t="n"/>
      <c r="AC628" s="61" t="n"/>
      <c r="AD628" s="61" t="n"/>
      <c r="AE628" s="61" t="n"/>
      <c r="AF628" s="61" t="n"/>
      <c r="AG628" s="61" t="n"/>
      <c r="AH628" s="61" t="n"/>
    </row>
    <row r="629" ht="15.75" customHeight="1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1" t="n"/>
      <c r="X629" s="61" t="n"/>
      <c r="Y629" s="61" t="n"/>
      <c r="Z629" s="61" t="n"/>
      <c r="AA629" s="61" t="n"/>
      <c r="AB629" s="61" t="n"/>
      <c r="AC629" s="61" t="n"/>
      <c r="AD629" s="61" t="n"/>
      <c r="AE629" s="61" t="n"/>
      <c r="AF629" s="61" t="n"/>
      <c r="AG629" s="61" t="n"/>
      <c r="AH629" s="61" t="n"/>
    </row>
    <row r="630" ht="15.75" customHeight="1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1" t="n"/>
      <c r="X630" s="61" t="n"/>
      <c r="Y630" s="61" t="n"/>
      <c r="Z630" s="61" t="n"/>
      <c r="AA630" s="61" t="n"/>
      <c r="AB630" s="61" t="n"/>
      <c r="AC630" s="61" t="n"/>
      <c r="AD630" s="61" t="n"/>
      <c r="AE630" s="61" t="n"/>
      <c r="AF630" s="61" t="n"/>
      <c r="AG630" s="61" t="n"/>
      <c r="AH630" s="61" t="n"/>
    </row>
    <row r="631" ht="15.75" customHeight="1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1" t="n"/>
      <c r="X631" s="61" t="n"/>
      <c r="Y631" s="61" t="n"/>
      <c r="Z631" s="61" t="n"/>
      <c r="AA631" s="61" t="n"/>
      <c r="AB631" s="61" t="n"/>
      <c r="AC631" s="61" t="n"/>
      <c r="AD631" s="61" t="n"/>
      <c r="AE631" s="61" t="n"/>
      <c r="AF631" s="61" t="n"/>
      <c r="AG631" s="61" t="n"/>
      <c r="AH631" s="61" t="n"/>
    </row>
    <row r="632" ht="15.75" customHeight="1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1" t="n"/>
      <c r="X632" s="61" t="n"/>
      <c r="Y632" s="61" t="n"/>
      <c r="Z632" s="61" t="n"/>
      <c r="AA632" s="61" t="n"/>
      <c r="AB632" s="61" t="n"/>
      <c r="AC632" s="61" t="n"/>
      <c r="AD632" s="61" t="n"/>
      <c r="AE632" s="61" t="n"/>
      <c r="AF632" s="61" t="n"/>
      <c r="AG632" s="61" t="n"/>
      <c r="AH632" s="61" t="n"/>
    </row>
    <row r="633" ht="15.75" customHeight="1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1" t="n"/>
      <c r="X633" s="61" t="n"/>
      <c r="Y633" s="61" t="n"/>
      <c r="Z633" s="61" t="n"/>
      <c r="AA633" s="61" t="n"/>
      <c r="AB633" s="61" t="n"/>
      <c r="AC633" s="61" t="n"/>
      <c r="AD633" s="61" t="n"/>
      <c r="AE633" s="61" t="n"/>
      <c r="AF633" s="61" t="n"/>
      <c r="AG633" s="61" t="n"/>
      <c r="AH633" s="61" t="n"/>
    </row>
    <row r="634" ht="15.75" customHeight="1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1" t="n"/>
      <c r="X634" s="61" t="n"/>
      <c r="Y634" s="61" t="n"/>
      <c r="Z634" s="61" t="n"/>
      <c r="AA634" s="61" t="n"/>
      <c r="AB634" s="61" t="n"/>
      <c r="AC634" s="61" t="n"/>
      <c r="AD634" s="61" t="n"/>
      <c r="AE634" s="61" t="n"/>
      <c r="AF634" s="61" t="n"/>
      <c r="AG634" s="61" t="n"/>
      <c r="AH634" s="61" t="n"/>
    </row>
    <row r="635" ht="15.75" customHeight="1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1" t="n"/>
      <c r="X635" s="61" t="n"/>
      <c r="Y635" s="61" t="n"/>
      <c r="Z635" s="61" t="n"/>
      <c r="AA635" s="61" t="n"/>
      <c r="AB635" s="61" t="n"/>
      <c r="AC635" s="61" t="n"/>
      <c r="AD635" s="61" t="n"/>
      <c r="AE635" s="61" t="n"/>
      <c r="AF635" s="61" t="n"/>
      <c r="AG635" s="61" t="n"/>
      <c r="AH635" s="61" t="n"/>
    </row>
    <row r="636" ht="15.75" customHeight="1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1" t="n"/>
      <c r="X636" s="61" t="n"/>
      <c r="Y636" s="61" t="n"/>
      <c r="Z636" s="61" t="n"/>
      <c r="AA636" s="61" t="n"/>
      <c r="AB636" s="61" t="n"/>
      <c r="AC636" s="61" t="n"/>
      <c r="AD636" s="61" t="n"/>
      <c r="AE636" s="61" t="n"/>
      <c r="AF636" s="61" t="n"/>
      <c r="AG636" s="61" t="n"/>
      <c r="AH636" s="61" t="n"/>
    </row>
    <row r="637" ht="15.75" customHeight="1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1" t="n"/>
      <c r="X637" s="61" t="n"/>
      <c r="Y637" s="61" t="n"/>
      <c r="Z637" s="61" t="n"/>
      <c r="AA637" s="61" t="n"/>
      <c r="AB637" s="61" t="n"/>
      <c r="AC637" s="61" t="n"/>
      <c r="AD637" s="61" t="n"/>
      <c r="AE637" s="61" t="n"/>
      <c r="AF637" s="61" t="n"/>
      <c r="AG637" s="61" t="n"/>
      <c r="AH637" s="61" t="n"/>
    </row>
    <row r="638" ht="15.75" customHeight="1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1" t="n"/>
      <c r="X638" s="61" t="n"/>
      <c r="Y638" s="61" t="n"/>
      <c r="Z638" s="61" t="n"/>
      <c r="AA638" s="61" t="n"/>
      <c r="AB638" s="61" t="n"/>
      <c r="AC638" s="61" t="n"/>
      <c r="AD638" s="61" t="n"/>
      <c r="AE638" s="61" t="n"/>
      <c r="AF638" s="61" t="n"/>
      <c r="AG638" s="61" t="n"/>
      <c r="AH638" s="61" t="n"/>
    </row>
    <row r="639" ht="15.75" customHeight="1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1" t="n"/>
      <c r="X639" s="61" t="n"/>
      <c r="Y639" s="61" t="n"/>
      <c r="Z639" s="61" t="n"/>
      <c r="AA639" s="61" t="n"/>
      <c r="AB639" s="61" t="n"/>
      <c r="AC639" s="61" t="n"/>
      <c r="AD639" s="61" t="n"/>
      <c r="AE639" s="61" t="n"/>
      <c r="AF639" s="61" t="n"/>
      <c r="AG639" s="61" t="n"/>
      <c r="AH639" s="61" t="n"/>
    </row>
    <row r="640" ht="15.75" customHeight="1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1" t="n"/>
      <c r="X640" s="61" t="n"/>
      <c r="Y640" s="61" t="n"/>
      <c r="Z640" s="61" t="n"/>
      <c r="AA640" s="61" t="n"/>
      <c r="AB640" s="61" t="n"/>
      <c r="AC640" s="61" t="n"/>
      <c r="AD640" s="61" t="n"/>
      <c r="AE640" s="61" t="n"/>
      <c r="AF640" s="61" t="n"/>
      <c r="AG640" s="61" t="n"/>
      <c r="AH640" s="61" t="n"/>
    </row>
    <row r="641" ht="15.75" customHeight="1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1" t="n"/>
      <c r="X641" s="61" t="n"/>
      <c r="Y641" s="61" t="n"/>
      <c r="Z641" s="61" t="n"/>
      <c r="AA641" s="61" t="n"/>
      <c r="AB641" s="61" t="n"/>
      <c r="AC641" s="61" t="n"/>
      <c r="AD641" s="61" t="n"/>
      <c r="AE641" s="61" t="n"/>
      <c r="AF641" s="61" t="n"/>
      <c r="AG641" s="61" t="n"/>
      <c r="AH641" s="61" t="n"/>
    </row>
    <row r="642" ht="15.75" customHeight="1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1" t="n"/>
      <c r="X642" s="61" t="n"/>
      <c r="Y642" s="61" t="n"/>
      <c r="Z642" s="61" t="n"/>
      <c r="AA642" s="61" t="n"/>
      <c r="AB642" s="61" t="n"/>
      <c r="AC642" s="61" t="n"/>
      <c r="AD642" s="61" t="n"/>
      <c r="AE642" s="61" t="n"/>
      <c r="AF642" s="61" t="n"/>
      <c r="AG642" s="61" t="n"/>
      <c r="AH642" s="61" t="n"/>
    </row>
    <row r="643" ht="15.75" customHeight="1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1" t="n"/>
      <c r="X643" s="61" t="n"/>
      <c r="Y643" s="61" t="n"/>
      <c r="Z643" s="61" t="n"/>
      <c r="AA643" s="61" t="n"/>
      <c r="AB643" s="61" t="n"/>
      <c r="AC643" s="61" t="n"/>
      <c r="AD643" s="61" t="n"/>
      <c r="AE643" s="61" t="n"/>
      <c r="AF643" s="61" t="n"/>
      <c r="AG643" s="61" t="n"/>
      <c r="AH643" s="61" t="n"/>
    </row>
    <row r="644" ht="15.75" customHeight="1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1" t="n"/>
      <c r="X644" s="61" t="n"/>
      <c r="Y644" s="61" t="n"/>
      <c r="Z644" s="61" t="n"/>
      <c r="AA644" s="61" t="n"/>
      <c r="AB644" s="61" t="n"/>
      <c r="AC644" s="61" t="n"/>
      <c r="AD644" s="61" t="n"/>
      <c r="AE644" s="61" t="n"/>
      <c r="AF644" s="61" t="n"/>
      <c r="AG644" s="61" t="n"/>
      <c r="AH644" s="61" t="n"/>
    </row>
    <row r="645" ht="15.75" customHeight="1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1" t="n"/>
      <c r="X645" s="61" t="n"/>
      <c r="Y645" s="61" t="n"/>
      <c r="Z645" s="61" t="n"/>
      <c r="AA645" s="61" t="n"/>
      <c r="AB645" s="61" t="n"/>
      <c r="AC645" s="61" t="n"/>
      <c r="AD645" s="61" t="n"/>
      <c r="AE645" s="61" t="n"/>
      <c r="AF645" s="61" t="n"/>
      <c r="AG645" s="61" t="n"/>
      <c r="AH645" s="61" t="n"/>
    </row>
    <row r="646" ht="15.75" customHeight="1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1" t="n"/>
      <c r="X646" s="61" t="n"/>
      <c r="Y646" s="61" t="n"/>
      <c r="Z646" s="61" t="n"/>
      <c r="AA646" s="61" t="n"/>
      <c r="AB646" s="61" t="n"/>
      <c r="AC646" s="61" t="n"/>
      <c r="AD646" s="61" t="n"/>
      <c r="AE646" s="61" t="n"/>
      <c r="AF646" s="61" t="n"/>
      <c r="AG646" s="61" t="n"/>
      <c r="AH646" s="61" t="n"/>
    </row>
    <row r="647" ht="15.75" customHeight="1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1" t="n"/>
      <c r="X647" s="61" t="n"/>
      <c r="Y647" s="61" t="n"/>
      <c r="Z647" s="61" t="n"/>
      <c r="AA647" s="61" t="n"/>
      <c r="AB647" s="61" t="n"/>
      <c r="AC647" s="61" t="n"/>
      <c r="AD647" s="61" t="n"/>
      <c r="AE647" s="61" t="n"/>
      <c r="AF647" s="61" t="n"/>
      <c r="AG647" s="61" t="n"/>
      <c r="AH647" s="61" t="n"/>
    </row>
    <row r="648" ht="15.75" customHeight="1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1" t="n"/>
      <c r="X648" s="61" t="n"/>
      <c r="Y648" s="61" t="n"/>
      <c r="Z648" s="61" t="n"/>
      <c r="AA648" s="61" t="n"/>
      <c r="AB648" s="61" t="n"/>
      <c r="AC648" s="61" t="n"/>
      <c r="AD648" s="61" t="n"/>
      <c r="AE648" s="61" t="n"/>
      <c r="AF648" s="61" t="n"/>
      <c r="AG648" s="61" t="n"/>
      <c r="AH648" s="61" t="n"/>
    </row>
    <row r="649" ht="15.75" customHeight="1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1" t="n"/>
      <c r="X649" s="61" t="n"/>
      <c r="Y649" s="61" t="n"/>
      <c r="Z649" s="61" t="n"/>
      <c r="AA649" s="61" t="n"/>
      <c r="AB649" s="61" t="n"/>
      <c r="AC649" s="61" t="n"/>
      <c r="AD649" s="61" t="n"/>
      <c r="AE649" s="61" t="n"/>
      <c r="AF649" s="61" t="n"/>
      <c r="AG649" s="61" t="n"/>
      <c r="AH649" s="61" t="n"/>
    </row>
    <row r="650" ht="15.75" customHeight="1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1" t="n"/>
      <c r="X650" s="61" t="n"/>
      <c r="Y650" s="61" t="n"/>
      <c r="Z650" s="61" t="n"/>
      <c r="AA650" s="61" t="n"/>
      <c r="AB650" s="61" t="n"/>
      <c r="AC650" s="61" t="n"/>
      <c r="AD650" s="61" t="n"/>
      <c r="AE650" s="61" t="n"/>
      <c r="AF650" s="61" t="n"/>
      <c r="AG650" s="61" t="n"/>
      <c r="AH650" s="61" t="n"/>
    </row>
    <row r="651" ht="15.75" customHeight="1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1" t="n"/>
      <c r="X651" s="61" t="n"/>
      <c r="Y651" s="61" t="n"/>
      <c r="Z651" s="61" t="n"/>
      <c r="AA651" s="61" t="n"/>
      <c r="AB651" s="61" t="n"/>
      <c r="AC651" s="61" t="n"/>
      <c r="AD651" s="61" t="n"/>
      <c r="AE651" s="61" t="n"/>
      <c r="AF651" s="61" t="n"/>
      <c r="AG651" s="61" t="n"/>
      <c r="AH651" s="61" t="n"/>
    </row>
    <row r="652" ht="15.75" customHeight="1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1" t="n"/>
      <c r="X652" s="61" t="n"/>
      <c r="Y652" s="61" t="n"/>
      <c r="Z652" s="61" t="n"/>
      <c r="AA652" s="61" t="n"/>
      <c r="AB652" s="61" t="n"/>
      <c r="AC652" s="61" t="n"/>
      <c r="AD652" s="61" t="n"/>
      <c r="AE652" s="61" t="n"/>
      <c r="AF652" s="61" t="n"/>
      <c r="AG652" s="61" t="n"/>
      <c r="AH652" s="61" t="n"/>
    </row>
    <row r="653" ht="15.75" customHeight="1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1" t="n"/>
      <c r="X653" s="61" t="n"/>
      <c r="Y653" s="61" t="n"/>
      <c r="Z653" s="61" t="n"/>
      <c r="AA653" s="61" t="n"/>
      <c r="AB653" s="61" t="n"/>
      <c r="AC653" s="61" t="n"/>
      <c r="AD653" s="61" t="n"/>
      <c r="AE653" s="61" t="n"/>
      <c r="AF653" s="61" t="n"/>
      <c r="AG653" s="61" t="n"/>
      <c r="AH653" s="61" t="n"/>
    </row>
    <row r="654" ht="15.75" customHeight="1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1" t="n"/>
      <c r="X654" s="61" t="n"/>
      <c r="Y654" s="61" t="n"/>
      <c r="Z654" s="61" t="n"/>
      <c r="AA654" s="61" t="n"/>
      <c r="AB654" s="61" t="n"/>
      <c r="AC654" s="61" t="n"/>
      <c r="AD654" s="61" t="n"/>
      <c r="AE654" s="61" t="n"/>
      <c r="AF654" s="61" t="n"/>
      <c r="AG654" s="61" t="n"/>
      <c r="AH654" s="61" t="n"/>
    </row>
    <row r="655" ht="15.75" customHeight="1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1" t="n"/>
      <c r="X655" s="61" t="n"/>
      <c r="Y655" s="61" t="n"/>
      <c r="Z655" s="61" t="n"/>
      <c r="AA655" s="61" t="n"/>
      <c r="AB655" s="61" t="n"/>
      <c r="AC655" s="61" t="n"/>
      <c r="AD655" s="61" t="n"/>
      <c r="AE655" s="61" t="n"/>
      <c r="AF655" s="61" t="n"/>
      <c r="AG655" s="61" t="n"/>
      <c r="AH655" s="61" t="n"/>
    </row>
    <row r="656" ht="15.75" customHeight="1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1" t="n"/>
      <c r="X656" s="61" t="n"/>
      <c r="Y656" s="61" t="n"/>
      <c r="Z656" s="61" t="n"/>
      <c r="AA656" s="61" t="n"/>
      <c r="AB656" s="61" t="n"/>
      <c r="AC656" s="61" t="n"/>
      <c r="AD656" s="61" t="n"/>
      <c r="AE656" s="61" t="n"/>
      <c r="AF656" s="61" t="n"/>
      <c r="AG656" s="61" t="n"/>
      <c r="AH656" s="61" t="n"/>
    </row>
    <row r="657" ht="15.75" customHeight="1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1" t="n"/>
      <c r="X657" s="61" t="n"/>
      <c r="Y657" s="61" t="n"/>
      <c r="Z657" s="61" t="n"/>
      <c r="AA657" s="61" t="n"/>
      <c r="AB657" s="61" t="n"/>
      <c r="AC657" s="61" t="n"/>
      <c r="AD657" s="61" t="n"/>
      <c r="AE657" s="61" t="n"/>
      <c r="AF657" s="61" t="n"/>
      <c r="AG657" s="61" t="n"/>
      <c r="AH657" s="61" t="n"/>
    </row>
    <row r="658" ht="15.75" customHeight="1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1" t="n"/>
      <c r="X658" s="61" t="n"/>
      <c r="Y658" s="61" t="n"/>
      <c r="Z658" s="61" t="n"/>
      <c r="AA658" s="61" t="n"/>
      <c r="AB658" s="61" t="n"/>
      <c r="AC658" s="61" t="n"/>
      <c r="AD658" s="61" t="n"/>
      <c r="AE658" s="61" t="n"/>
      <c r="AF658" s="61" t="n"/>
      <c r="AG658" s="61" t="n"/>
      <c r="AH658" s="61" t="n"/>
    </row>
    <row r="659" ht="15.75" customHeight="1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1" t="n"/>
      <c r="X659" s="61" t="n"/>
      <c r="Y659" s="61" t="n"/>
      <c r="Z659" s="61" t="n"/>
      <c r="AA659" s="61" t="n"/>
      <c r="AB659" s="61" t="n"/>
      <c r="AC659" s="61" t="n"/>
      <c r="AD659" s="61" t="n"/>
      <c r="AE659" s="61" t="n"/>
      <c r="AF659" s="61" t="n"/>
      <c r="AG659" s="61" t="n"/>
      <c r="AH659" s="61" t="n"/>
    </row>
    <row r="660" ht="15.75" customHeight="1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1" t="n"/>
      <c r="X660" s="61" t="n"/>
      <c r="Y660" s="61" t="n"/>
      <c r="Z660" s="61" t="n"/>
      <c r="AA660" s="61" t="n"/>
      <c r="AB660" s="61" t="n"/>
      <c r="AC660" s="61" t="n"/>
      <c r="AD660" s="61" t="n"/>
      <c r="AE660" s="61" t="n"/>
      <c r="AF660" s="61" t="n"/>
      <c r="AG660" s="61" t="n"/>
      <c r="AH660" s="61" t="n"/>
    </row>
    <row r="661" ht="15.75" customHeight="1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1" t="n"/>
      <c r="X661" s="61" t="n"/>
      <c r="Y661" s="61" t="n"/>
      <c r="Z661" s="61" t="n"/>
      <c r="AA661" s="61" t="n"/>
      <c r="AB661" s="61" t="n"/>
      <c r="AC661" s="61" t="n"/>
      <c r="AD661" s="61" t="n"/>
      <c r="AE661" s="61" t="n"/>
      <c r="AF661" s="61" t="n"/>
      <c r="AG661" s="61" t="n"/>
      <c r="AH661" s="61" t="n"/>
    </row>
    <row r="662" ht="15.75" customHeight="1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1" t="n"/>
      <c r="X662" s="61" t="n"/>
      <c r="Y662" s="61" t="n"/>
      <c r="Z662" s="61" t="n"/>
      <c r="AA662" s="61" t="n"/>
      <c r="AB662" s="61" t="n"/>
      <c r="AC662" s="61" t="n"/>
      <c r="AD662" s="61" t="n"/>
      <c r="AE662" s="61" t="n"/>
      <c r="AF662" s="61" t="n"/>
      <c r="AG662" s="61" t="n"/>
      <c r="AH662" s="61" t="n"/>
    </row>
    <row r="663" ht="15.75" customHeight="1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1" t="n"/>
      <c r="X663" s="61" t="n"/>
      <c r="Y663" s="61" t="n"/>
      <c r="Z663" s="61" t="n"/>
      <c r="AA663" s="61" t="n"/>
      <c r="AB663" s="61" t="n"/>
      <c r="AC663" s="61" t="n"/>
      <c r="AD663" s="61" t="n"/>
      <c r="AE663" s="61" t="n"/>
      <c r="AF663" s="61" t="n"/>
      <c r="AG663" s="61" t="n"/>
      <c r="AH663" s="61" t="n"/>
    </row>
    <row r="664" ht="15.75" customHeight="1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1" t="n"/>
      <c r="X664" s="61" t="n"/>
      <c r="Y664" s="61" t="n"/>
      <c r="Z664" s="61" t="n"/>
      <c r="AA664" s="61" t="n"/>
      <c r="AB664" s="61" t="n"/>
      <c r="AC664" s="61" t="n"/>
      <c r="AD664" s="61" t="n"/>
      <c r="AE664" s="61" t="n"/>
      <c r="AF664" s="61" t="n"/>
      <c r="AG664" s="61" t="n"/>
      <c r="AH664" s="61" t="n"/>
    </row>
    <row r="665" ht="15.75" customHeight="1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1" t="n"/>
      <c r="X665" s="61" t="n"/>
      <c r="Y665" s="61" t="n"/>
      <c r="Z665" s="61" t="n"/>
      <c r="AA665" s="61" t="n"/>
      <c r="AB665" s="61" t="n"/>
      <c r="AC665" s="61" t="n"/>
      <c r="AD665" s="61" t="n"/>
      <c r="AE665" s="61" t="n"/>
      <c r="AF665" s="61" t="n"/>
      <c r="AG665" s="61" t="n"/>
      <c r="AH665" s="61" t="n"/>
    </row>
    <row r="666" ht="15.75" customHeight="1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1" t="n"/>
      <c r="X666" s="61" t="n"/>
      <c r="Y666" s="61" t="n"/>
      <c r="Z666" s="61" t="n"/>
      <c r="AA666" s="61" t="n"/>
      <c r="AB666" s="61" t="n"/>
      <c r="AC666" s="61" t="n"/>
      <c r="AD666" s="61" t="n"/>
      <c r="AE666" s="61" t="n"/>
      <c r="AF666" s="61" t="n"/>
      <c r="AG666" s="61" t="n"/>
      <c r="AH666" s="61" t="n"/>
    </row>
    <row r="667" ht="15.75" customHeight="1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1" t="n"/>
      <c r="X667" s="61" t="n"/>
      <c r="Y667" s="61" t="n"/>
      <c r="Z667" s="61" t="n"/>
      <c r="AA667" s="61" t="n"/>
      <c r="AB667" s="61" t="n"/>
      <c r="AC667" s="61" t="n"/>
      <c r="AD667" s="61" t="n"/>
      <c r="AE667" s="61" t="n"/>
      <c r="AF667" s="61" t="n"/>
      <c r="AG667" s="61" t="n"/>
      <c r="AH667" s="61" t="n"/>
    </row>
    <row r="668" ht="15.75" customHeight="1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1" t="n"/>
      <c r="X668" s="61" t="n"/>
      <c r="Y668" s="61" t="n"/>
      <c r="Z668" s="61" t="n"/>
      <c r="AA668" s="61" t="n"/>
      <c r="AB668" s="61" t="n"/>
      <c r="AC668" s="61" t="n"/>
      <c r="AD668" s="61" t="n"/>
      <c r="AE668" s="61" t="n"/>
      <c r="AF668" s="61" t="n"/>
      <c r="AG668" s="61" t="n"/>
      <c r="AH668" s="61" t="n"/>
    </row>
    <row r="669" ht="15.75" customHeight="1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1" t="n"/>
      <c r="X669" s="61" t="n"/>
      <c r="Y669" s="61" t="n"/>
      <c r="Z669" s="61" t="n"/>
      <c r="AA669" s="61" t="n"/>
      <c r="AB669" s="61" t="n"/>
      <c r="AC669" s="61" t="n"/>
      <c r="AD669" s="61" t="n"/>
      <c r="AE669" s="61" t="n"/>
      <c r="AF669" s="61" t="n"/>
      <c r="AG669" s="61" t="n"/>
      <c r="AH669" s="61" t="n"/>
    </row>
    <row r="670" ht="15.75" customHeight="1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1" t="n"/>
      <c r="X670" s="61" t="n"/>
      <c r="Y670" s="61" t="n"/>
      <c r="Z670" s="61" t="n"/>
      <c r="AA670" s="61" t="n"/>
      <c r="AB670" s="61" t="n"/>
      <c r="AC670" s="61" t="n"/>
      <c r="AD670" s="61" t="n"/>
      <c r="AE670" s="61" t="n"/>
      <c r="AF670" s="61" t="n"/>
      <c r="AG670" s="61" t="n"/>
      <c r="AH670" s="61" t="n"/>
    </row>
    <row r="671" ht="15.75" customHeight="1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1" t="n"/>
      <c r="X671" s="61" t="n"/>
      <c r="Y671" s="61" t="n"/>
      <c r="Z671" s="61" t="n"/>
      <c r="AA671" s="61" t="n"/>
      <c r="AB671" s="61" t="n"/>
      <c r="AC671" s="61" t="n"/>
      <c r="AD671" s="61" t="n"/>
      <c r="AE671" s="61" t="n"/>
      <c r="AF671" s="61" t="n"/>
      <c r="AG671" s="61" t="n"/>
      <c r="AH671" s="61" t="n"/>
    </row>
    <row r="672" ht="15.75" customHeight="1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1" t="n"/>
      <c r="X672" s="61" t="n"/>
      <c r="Y672" s="61" t="n"/>
      <c r="Z672" s="61" t="n"/>
      <c r="AA672" s="61" t="n"/>
      <c r="AB672" s="61" t="n"/>
      <c r="AC672" s="61" t="n"/>
      <c r="AD672" s="61" t="n"/>
      <c r="AE672" s="61" t="n"/>
      <c r="AF672" s="61" t="n"/>
      <c r="AG672" s="61" t="n"/>
      <c r="AH672" s="61" t="n"/>
    </row>
    <row r="673" ht="15.75" customHeight="1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1" t="n"/>
      <c r="X673" s="61" t="n"/>
      <c r="Y673" s="61" t="n"/>
      <c r="Z673" s="61" t="n"/>
      <c r="AA673" s="61" t="n"/>
      <c r="AB673" s="61" t="n"/>
      <c r="AC673" s="61" t="n"/>
      <c r="AD673" s="61" t="n"/>
      <c r="AE673" s="61" t="n"/>
      <c r="AF673" s="61" t="n"/>
      <c r="AG673" s="61" t="n"/>
      <c r="AH673" s="61" t="n"/>
    </row>
    <row r="674" ht="15.75" customHeight="1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1" t="n"/>
      <c r="X674" s="61" t="n"/>
      <c r="Y674" s="61" t="n"/>
      <c r="Z674" s="61" t="n"/>
      <c r="AA674" s="61" t="n"/>
      <c r="AB674" s="61" t="n"/>
      <c r="AC674" s="61" t="n"/>
      <c r="AD674" s="61" t="n"/>
      <c r="AE674" s="61" t="n"/>
      <c r="AF674" s="61" t="n"/>
      <c r="AG674" s="61" t="n"/>
      <c r="AH674" s="61" t="n"/>
    </row>
    <row r="675" ht="15.75" customHeight="1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1" t="n"/>
      <c r="X675" s="61" t="n"/>
      <c r="Y675" s="61" t="n"/>
      <c r="Z675" s="61" t="n"/>
      <c r="AA675" s="61" t="n"/>
      <c r="AB675" s="61" t="n"/>
      <c r="AC675" s="61" t="n"/>
      <c r="AD675" s="61" t="n"/>
      <c r="AE675" s="61" t="n"/>
      <c r="AF675" s="61" t="n"/>
      <c r="AG675" s="61" t="n"/>
      <c r="AH675" s="61" t="n"/>
    </row>
    <row r="676" ht="15.75" customHeight="1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1" t="n"/>
      <c r="X676" s="61" t="n"/>
      <c r="Y676" s="61" t="n"/>
      <c r="Z676" s="61" t="n"/>
      <c r="AA676" s="61" t="n"/>
      <c r="AB676" s="61" t="n"/>
      <c r="AC676" s="61" t="n"/>
      <c r="AD676" s="61" t="n"/>
      <c r="AE676" s="61" t="n"/>
      <c r="AF676" s="61" t="n"/>
      <c r="AG676" s="61" t="n"/>
      <c r="AH676" s="61" t="n"/>
    </row>
    <row r="677" ht="15.75" customHeight="1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1" t="n"/>
      <c r="X677" s="61" t="n"/>
      <c r="Y677" s="61" t="n"/>
      <c r="Z677" s="61" t="n"/>
      <c r="AA677" s="61" t="n"/>
      <c r="AB677" s="61" t="n"/>
      <c r="AC677" s="61" t="n"/>
      <c r="AD677" s="61" t="n"/>
      <c r="AE677" s="61" t="n"/>
      <c r="AF677" s="61" t="n"/>
      <c r="AG677" s="61" t="n"/>
      <c r="AH677" s="61" t="n"/>
    </row>
    <row r="678" ht="15.75" customHeight="1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1" t="n"/>
      <c r="X678" s="61" t="n"/>
      <c r="Y678" s="61" t="n"/>
      <c r="Z678" s="61" t="n"/>
      <c r="AA678" s="61" t="n"/>
      <c r="AB678" s="61" t="n"/>
      <c r="AC678" s="61" t="n"/>
      <c r="AD678" s="61" t="n"/>
      <c r="AE678" s="61" t="n"/>
      <c r="AF678" s="61" t="n"/>
      <c r="AG678" s="61" t="n"/>
      <c r="AH678" s="61" t="n"/>
    </row>
    <row r="679" ht="15.75" customHeight="1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1" t="n"/>
      <c r="X679" s="61" t="n"/>
      <c r="Y679" s="61" t="n"/>
      <c r="Z679" s="61" t="n"/>
      <c r="AA679" s="61" t="n"/>
      <c r="AB679" s="61" t="n"/>
      <c r="AC679" s="61" t="n"/>
      <c r="AD679" s="61" t="n"/>
      <c r="AE679" s="61" t="n"/>
      <c r="AF679" s="61" t="n"/>
      <c r="AG679" s="61" t="n"/>
      <c r="AH679" s="61" t="n"/>
    </row>
    <row r="680" ht="15.75" customHeight="1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1" t="n"/>
      <c r="X680" s="61" t="n"/>
      <c r="Y680" s="61" t="n"/>
      <c r="Z680" s="61" t="n"/>
      <c r="AA680" s="61" t="n"/>
      <c r="AB680" s="61" t="n"/>
      <c r="AC680" s="61" t="n"/>
      <c r="AD680" s="61" t="n"/>
      <c r="AE680" s="61" t="n"/>
      <c r="AF680" s="61" t="n"/>
      <c r="AG680" s="61" t="n"/>
      <c r="AH680" s="61" t="n"/>
    </row>
    <row r="681" ht="15.75" customHeight="1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1" t="n"/>
      <c r="X681" s="61" t="n"/>
      <c r="Y681" s="61" t="n"/>
      <c r="Z681" s="61" t="n"/>
      <c r="AA681" s="61" t="n"/>
      <c r="AB681" s="61" t="n"/>
      <c r="AC681" s="61" t="n"/>
      <c r="AD681" s="61" t="n"/>
      <c r="AE681" s="61" t="n"/>
      <c r="AF681" s="61" t="n"/>
      <c r="AG681" s="61" t="n"/>
      <c r="AH681" s="61" t="n"/>
    </row>
    <row r="682" ht="15.75" customHeight="1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1" t="n"/>
      <c r="X682" s="61" t="n"/>
      <c r="Y682" s="61" t="n"/>
      <c r="Z682" s="61" t="n"/>
      <c r="AA682" s="61" t="n"/>
      <c r="AB682" s="61" t="n"/>
      <c r="AC682" s="61" t="n"/>
      <c r="AD682" s="61" t="n"/>
      <c r="AE682" s="61" t="n"/>
      <c r="AF682" s="61" t="n"/>
      <c r="AG682" s="61" t="n"/>
      <c r="AH682" s="61" t="n"/>
    </row>
    <row r="683" ht="15.75" customHeight="1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1" t="n"/>
      <c r="X683" s="61" t="n"/>
      <c r="Y683" s="61" t="n"/>
      <c r="Z683" s="61" t="n"/>
      <c r="AA683" s="61" t="n"/>
      <c r="AB683" s="61" t="n"/>
      <c r="AC683" s="61" t="n"/>
      <c r="AD683" s="61" t="n"/>
      <c r="AE683" s="61" t="n"/>
      <c r="AF683" s="61" t="n"/>
      <c r="AG683" s="61" t="n"/>
      <c r="AH683" s="61" t="n"/>
    </row>
    <row r="684" ht="15.75" customHeight="1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1" t="n"/>
      <c r="X684" s="61" t="n"/>
      <c r="Y684" s="61" t="n"/>
      <c r="Z684" s="61" t="n"/>
      <c r="AA684" s="61" t="n"/>
      <c r="AB684" s="61" t="n"/>
      <c r="AC684" s="61" t="n"/>
      <c r="AD684" s="61" t="n"/>
      <c r="AE684" s="61" t="n"/>
      <c r="AF684" s="61" t="n"/>
      <c r="AG684" s="61" t="n"/>
      <c r="AH684" s="61" t="n"/>
    </row>
    <row r="685" ht="15.75" customHeight="1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1" t="n"/>
      <c r="X685" s="61" t="n"/>
      <c r="Y685" s="61" t="n"/>
      <c r="Z685" s="61" t="n"/>
      <c r="AA685" s="61" t="n"/>
      <c r="AB685" s="61" t="n"/>
      <c r="AC685" s="61" t="n"/>
      <c r="AD685" s="61" t="n"/>
      <c r="AE685" s="61" t="n"/>
      <c r="AF685" s="61" t="n"/>
      <c r="AG685" s="61" t="n"/>
      <c r="AH685" s="61" t="n"/>
    </row>
    <row r="686" ht="15.75" customHeight="1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1" t="n"/>
      <c r="X686" s="61" t="n"/>
      <c r="Y686" s="61" t="n"/>
      <c r="Z686" s="61" t="n"/>
      <c r="AA686" s="61" t="n"/>
      <c r="AB686" s="61" t="n"/>
      <c r="AC686" s="61" t="n"/>
      <c r="AD686" s="61" t="n"/>
      <c r="AE686" s="61" t="n"/>
      <c r="AF686" s="61" t="n"/>
      <c r="AG686" s="61" t="n"/>
      <c r="AH686" s="61" t="n"/>
    </row>
    <row r="687" ht="15.75" customHeight="1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1" t="n"/>
      <c r="X687" s="61" t="n"/>
      <c r="Y687" s="61" t="n"/>
      <c r="Z687" s="61" t="n"/>
      <c r="AA687" s="61" t="n"/>
      <c r="AB687" s="61" t="n"/>
      <c r="AC687" s="61" t="n"/>
      <c r="AD687" s="61" t="n"/>
      <c r="AE687" s="61" t="n"/>
      <c r="AF687" s="61" t="n"/>
      <c r="AG687" s="61" t="n"/>
      <c r="AH687" s="61" t="n"/>
    </row>
    <row r="688" ht="15.75" customHeight="1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1" t="n"/>
      <c r="X688" s="61" t="n"/>
      <c r="Y688" s="61" t="n"/>
      <c r="Z688" s="61" t="n"/>
      <c r="AA688" s="61" t="n"/>
      <c r="AB688" s="61" t="n"/>
      <c r="AC688" s="61" t="n"/>
      <c r="AD688" s="61" t="n"/>
      <c r="AE688" s="61" t="n"/>
      <c r="AF688" s="61" t="n"/>
      <c r="AG688" s="61" t="n"/>
      <c r="AH688" s="61" t="n"/>
    </row>
    <row r="689" ht="15.75" customHeight="1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1" t="n"/>
      <c r="X689" s="61" t="n"/>
      <c r="Y689" s="61" t="n"/>
      <c r="Z689" s="61" t="n"/>
      <c r="AA689" s="61" t="n"/>
      <c r="AB689" s="61" t="n"/>
      <c r="AC689" s="61" t="n"/>
      <c r="AD689" s="61" t="n"/>
      <c r="AE689" s="61" t="n"/>
      <c r="AF689" s="61" t="n"/>
      <c r="AG689" s="61" t="n"/>
      <c r="AH689" s="61" t="n"/>
    </row>
    <row r="690" ht="15.75" customHeight="1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1" t="n"/>
      <c r="X690" s="61" t="n"/>
      <c r="Y690" s="61" t="n"/>
      <c r="Z690" s="61" t="n"/>
      <c r="AA690" s="61" t="n"/>
      <c r="AB690" s="61" t="n"/>
      <c r="AC690" s="61" t="n"/>
      <c r="AD690" s="61" t="n"/>
      <c r="AE690" s="61" t="n"/>
      <c r="AF690" s="61" t="n"/>
      <c r="AG690" s="61" t="n"/>
      <c r="AH690" s="61" t="n"/>
    </row>
    <row r="691" ht="15.75" customHeight="1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1" t="n"/>
      <c r="X691" s="61" t="n"/>
      <c r="Y691" s="61" t="n"/>
      <c r="Z691" s="61" t="n"/>
      <c r="AA691" s="61" t="n"/>
      <c r="AB691" s="61" t="n"/>
      <c r="AC691" s="61" t="n"/>
      <c r="AD691" s="61" t="n"/>
      <c r="AE691" s="61" t="n"/>
      <c r="AF691" s="61" t="n"/>
      <c r="AG691" s="61" t="n"/>
      <c r="AH691" s="61" t="n"/>
    </row>
    <row r="692" ht="15.75" customHeight="1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1" t="n"/>
      <c r="X692" s="61" t="n"/>
      <c r="Y692" s="61" t="n"/>
      <c r="Z692" s="61" t="n"/>
      <c r="AA692" s="61" t="n"/>
      <c r="AB692" s="61" t="n"/>
      <c r="AC692" s="61" t="n"/>
      <c r="AD692" s="61" t="n"/>
      <c r="AE692" s="61" t="n"/>
      <c r="AF692" s="61" t="n"/>
      <c r="AG692" s="61" t="n"/>
      <c r="AH692" s="61" t="n"/>
    </row>
    <row r="693" ht="15.75" customHeight="1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1" t="n"/>
      <c r="X693" s="61" t="n"/>
      <c r="Y693" s="61" t="n"/>
      <c r="Z693" s="61" t="n"/>
      <c r="AA693" s="61" t="n"/>
      <c r="AB693" s="61" t="n"/>
      <c r="AC693" s="61" t="n"/>
      <c r="AD693" s="61" t="n"/>
      <c r="AE693" s="61" t="n"/>
      <c r="AF693" s="61" t="n"/>
      <c r="AG693" s="61" t="n"/>
      <c r="AH693" s="61" t="n"/>
    </row>
    <row r="694" ht="15.75" customHeight="1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1" t="n"/>
      <c r="X694" s="61" t="n"/>
      <c r="Y694" s="61" t="n"/>
      <c r="Z694" s="61" t="n"/>
      <c r="AA694" s="61" t="n"/>
      <c r="AB694" s="61" t="n"/>
      <c r="AC694" s="61" t="n"/>
      <c r="AD694" s="61" t="n"/>
      <c r="AE694" s="61" t="n"/>
      <c r="AF694" s="61" t="n"/>
      <c r="AG694" s="61" t="n"/>
      <c r="AH694" s="61" t="n"/>
    </row>
    <row r="695" ht="15.75" customHeight="1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1" t="n"/>
      <c r="X695" s="61" t="n"/>
      <c r="Y695" s="61" t="n"/>
      <c r="Z695" s="61" t="n"/>
      <c r="AA695" s="61" t="n"/>
      <c r="AB695" s="61" t="n"/>
      <c r="AC695" s="61" t="n"/>
      <c r="AD695" s="61" t="n"/>
      <c r="AE695" s="61" t="n"/>
      <c r="AF695" s="61" t="n"/>
      <c r="AG695" s="61" t="n"/>
      <c r="AH695" s="61" t="n"/>
    </row>
    <row r="696" ht="15.75" customHeight="1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1" t="n"/>
      <c r="X696" s="61" t="n"/>
      <c r="Y696" s="61" t="n"/>
      <c r="Z696" s="61" t="n"/>
      <c r="AA696" s="61" t="n"/>
      <c r="AB696" s="61" t="n"/>
      <c r="AC696" s="61" t="n"/>
      <c r="AD696" s="61" t="n"/>
      <c r="AE696" s="61" t="n"/>
      <c r="AF696" s="61" t="n"/>
      <c r="AG696" s="61" t="n"/>
      <c r="AH696" s="61" t="n"/>
    </row>
    <row r="697" ht="15.75" customHeight="1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1" t="n"/>
      <c r="X697" s="61" t="n"/>
      <c r="Y697" s="61" t="n"/>
      <c r="Z697" s="61" t="n"/>
      <c r="AA697" s="61" t="n"/>
      <c r="AB697" s="61" t="n"/>
      <c r="AC697" s="61" t="n"/>
      <c r="AD697" s="61" t="n"/>
      <c r="AE697" s="61" t="n"/>
      <c r="AF697" s="61" t="n"/>
      <c r="AG697" s="61" t="n"/>
      <c r="AH697" s="61" t="n"/>
    </row>
    <row r="698" ht="15.75" customHeight="1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1" t="n"/>
      <c r="X698" s="61" t="n"/>
      <c r="Y698" s="61" t="n"/>
      <c r="Z698" s="61" t="n"/>
      <c r="AA698" s="61" t="n"/>
      <c r="AB698" s="61" t="n"/>
      <c r="AC698" s="61" t="n"/>
      <c r="AD698" s="61" t="n"/>
      <c r="AE698" s="61" t="n"/>
      <c r="AF698" s="61" t="n"/>
      <c r="AG698" s="61" t="n"/>
      <c r="AH698" s="61" t="n"/>
    </row>
    <row r="699" ht="15.75" customHeight="1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1" t="n"/>
      <c r="X699" s="61" t="n"/>
      <c r="Y699" s="61" t="n"/>
      <c r="Z699" s="61" t="n"/>
      <c r="AA699" s="61" t="n"/>
      <c r="AB699" s="61" t="n"/>
      <c r="AC699" s="61" t="n"/>
      <c r="AD699" s="61" t="n"/>
      <c r="AE699" s="61" t="n"/>
      <c r="AF699" s="61" t="n"/>
      <c r="AG699" s="61" t="n"/>
      <c r="AH699" s="61" t="n"/>
    </row>
    <row r="700" ht="15.75" customHeight="1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1" t="n"/>
      <c r="X700" s="61" t="n"/>
      <c r="Y700" s="61" t="n"/>
      <c r="Z700" s="61" t="n"/>
      <c r="AA700" s="61" t="n"/>
      <c r="AB700" s="61" t="n"/>
      <c r="AC700" s="61" t="n"/>
      <c r="AD700" s="61" t="n"/>
      <c r="AE700" s="61" t="n"/>
      <c r="AF700" s="61" t="n"/>
      <c r="AG700" s="61" t="n"/>
      <c r="AH700" s="61" t="n"/>
    </row>
    <row r="701" ht="15.75" customHeight="1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1" t="n"/>
      <c r="X701" s="61" t="n"/>
      <c r="Y701" s="61" t="n"/>
      <c r="Z701" s="61" t="n"/>
      <c r="AA701" s="61" t="n"/>
      <c r="AB701" s="61" t="n"/>
      <c r="AC701" s="61" t="n"/>
      <c r="AD701" s="61" t="n"/>
      <c r="AE701" s="61" t="n"/>
      <c r="AF701" s="61" t="n"/>
      <c r="AG701" s="61" t="n"/>
      <c r="AH701" s="61" t="n"/>
    </row>
    <row r="702" ht="15.75" customHeight="1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1" t="n"/>
      <c r="X702" s="61" t="n"/>
      <c r="Y702" s="61" t="n"/>
      <c r="Z702" s="61" t="n"/>
      <c r="AA702" s="61" t="n"/>
      <c r="AB702" s="61" t="n"/>
      <c r="AC702" s="61" t="n"/>
      <c r="AD702" s="61" t="n"/>
      <c r="AE702" s="61" t="n"/>
      <c r="AF702" s="61" t="n"/>
      <c r="AG702" s="61" t="n"/>
      <c r="AH702" s="61" t="n"/>
    </row>
    <row r="703" ht="15.75" customHeight="1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1" t="n"/>
      <c r="X703" s="61" t="n"/>
      <c r="Y703" s="61" t="n"/>
      <c r="Z703" s="61" t="n"/>
      <c r="AA703" s="61" t="n"/>
      <c r="AB703" s="61" t="n"/>
      <c r="AC703" s="61" t="n"/>
      <c r="AD703" s="61" t="n"/>
      <c r="AE703" s="61" t="n"/>
      <c r="AF703" s="61" t="n"/>
      <c r="AG703" s="61" t="n"/>
      <c r="AH703" s="61" t="n"/>
    </row>
    <row r="704" ht="15.75" customHeight="1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1" t="n"/>
      <c r="X704" s="61" t="n"/>
      <c r="Y704" s="61" t="n"/>
      <c r="Z704" s="61" t="n"/>
      <c r="AA704" s="61" t="n"/>
      <c r="AB704" s="61" t="n"/>
      <c r="AC704" s="61" t="n"/>
      <c r="AD704" s="61" t="n"/>
      <c r="AE704" s="61" t="n"/>
      <c r="AF704" s="61" t="n"/>
      <c r="AG704" s="61" t="n"/>
      <c r="AH704" s="61" t="n"/>
    </row>
    <row r="705" ht="15.75" customHeight="1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1" t="n"/>
      <c r="X705" s="61" t="n"/>
      <c r="Y705" s="61" t="n"/>
      <c r="Z705" s="61" t="n"/>
      <c r="AA705" s="61" t="n"/>
      <c r="AB705" s="61" t="n"/>
      <c r="AC705" s="61" t="n"/>
      <c r="AD705" s="61" t="n"/>
      <c r="AE705" s="61" t="n"/>
      <c r="AF705" s="61" t="n"/>
      <c r="AG705" s="61" t="n"/>
      <c r="AH705" s="61" t="n"/>
    </row>
    <row r="706" ht="15.75" customHeight="1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1" t="n"/>
      <c r="X706" s="61" t="n"/>
      <c r="Y706" s="61" t="n"/>
      <c r="Z706" s="61" t="n"/>
      <c r="AA706" s="61" t="n"/>
      <c r="AB706" s="61" t="n"/>
      <c r="AC706" s="61" t="n"/>
      <c r="AD706" s="61" t="n"/>
      <c r="AE706" s="61" t="n"/>
      <c r="AF706" s="61" t="n"/>
      <c r="AG706" s="61" t="n"/>
      <c r="AH706" s="61" t="n"/>
    </row>
    <row r="707" ht="15.75" customHeight="1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1" t="n"/>
      <c r="X707" s="61" t="n"/>
      <c r="Y707" s="61" t="n"/>
      <c r="Z707" s="61" t="n"/>
      <c r="AA707" s="61" t="n"/>
      <c r="AB707" s="61" t="n"/>
      <c r="AC707" s="61" t="n"/>
      <c r="AD707" s="61" t="n"/>
      <c r="AE707" s="61" t="n"/>
      <c r="AF707" s="61" t="n"/>
      <c r="AG707" s="61" t="n"/>
      <c r="AH707" s="61" t="n"/>
    </row>
    <row r="708" ht="15.75" customHeight="1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1" t="n"/>
      <c r="X708" s="61" t="n"/>
      <c r="Y708" s="61" t="n"/>
      <c r="Z708" s="61" t="n"/>
      <c r="AA708" s="61" t="n"/>
      <c r="AB708" s="61" t="n"/>
      <c r="AC708" s="61" t="n"/>
      <c r="AD708" s="61" t="n"/>
      <c r="AE708" s="61" t="n"/>
      <c r="AF708" s="61" t="n"/>
      <c r="AG708" s="61" t="n"/>
      <c r="AH708" s="61" t="n"/>
    </row>
    <row r="709" ht="15.75" customHeight="1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1" t="n"/>
      <c r="X709" s="61" t="n"/>
      <c r="Y709" s="61" t="n"/>
      <c r="Z709" s="61" t="n"/>
      <c r="AA709" s="61" t="n"/>
      <c r="AB709" s="61" t="n"/>
      <c r="AC709" s="61" t="n"/>
      <c r="AD709" s="61" t="n"/>
      <c r="AE709" s="61" t="n"/>
      <c r="AF709" s="61" t="n"/>
      <c r="AG709" s="61" t="n"/>
      <c r="AH709" s="61" t="n"/>
    </row>
    <row r="710" ht="15.75" customHeight="1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1" t="n"/>
      <c r="X710" s="61" t="n"/>
      <c r="Y710" s="61" t="n"/>
      <c r="Z710" s="61" t="n"/>
      <c r="AA710" s="61" t="n"/>
      <c r="AB710" s="61" t="n"/>
      <c r="AC710" s="61" t="n"/>
      <c r="AD710" s="61" t="n"/>
      <c r="AE710" s="61" t="n"/>
      <c r="AF710" s="61" t="n"/>
      <c r="AG710" s="61" t="n"/>
      <c r="AH710" s="61" t="n"/>
    </row>
    <row r="711" ht="15.75" customHeight="1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1" t="n"/>
      <c r="X711" s="61" t="n"/>
      <c r="Y711" s="61" t="n"/>
      <c r="Z711" s="61" t="n"/>
      <c r="AA711" s="61" t="n"/>
      <c r="AB711" s="61" t="n"/>
      <c r="AC711" s="61" t="n"/>
      <c r="AD711" s="61" t="n"/>
      <c r="AE711" s="61" t="n"/>
      <c r="AF711" s="61" t="n"/>
      <c r="AG711" s="61" t="n"/>
      <c r="AH711" s="61" t="n"/>
    </row>
    <row r="712" ht="15.75" customHeight="1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1" t="n"/>
      <c r="X712" s="61" t="n"/>
      <c r="Y712" s="61" t="n"/>
      <c r="Z712" s="61" t="n"/>
      <c r="AA712" s="61" t="n"/>
      <c r="AB712" s="61" t="n"/>
      <c r="AC712" s="61" t="n"/>
      <c r="AD712" s="61" t="n"/>
      <c r="AE712" s="61" t="n"/>
      <c r="AF712" s="61" t="n"/>
      <c r="AG712" s="61" t="n"/>
      <c r="AH712" s="61" t="n"/>
    </row>
    <row r="713" ht="15.75" customHeight="1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1" t="n"/>
      <c r="X713" s="61" t="n"/>
      <c r="Y713" s="61" t="n"/>
      <c r="Z713" s="61" t="n"/>
      <c r="AA713" s="61" t="n"/>
      <c r="AB713" s="61" t="n"/>
      <c r="AC713" s="61" t="n"/>
      <c r="AD713" s="61" t="n"/>
      <c r="AE713" s="61" t="n"/>
      <c r="AF713" s="61" t="n"/>
      <c r="AG713" s="61" t="n"/>
      <c r="AH713" s="61" t="n"/>
    </row>
    <row r="714" ht="15.75" customHeight="1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1" t="n"/>
      <c r="X714" s="61" t="n"/>
      <c r="Y714" s="61" t="n"/>
      <c r="Z714" s="61" t="n"/>
      <c r="AA714" s="61" t="n"/>
      <c r="AB714" s="61" t="n"/>
      <c r="AC714" s="61" t="n"/>
      <c r="AD714" s="61" t="n"/>
      <c r="AE714" s="61" t="n"/>
      <c r="AF714" s="61" t="n"/>
      <c r="AG714" s="61" t="n"/>
      <c r="AH714" s="61" t="n"/>
    </row>
    <row r="715" ht="15.75" customHeight="1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1" t="n"/>
      <c r="X715" s="61" t="n"/>
      <c r="Y715" s="61" t="n"/>
      <c r="Z715" s="61" t="n"/>
      <c r="AA715" s="61" t="n"/>
      <c r="AB715" s="61" t="n"/>
      <c r="AC715" s="61" t="n"/>
      <c r="AD715" s="61" t="n"/>
      <c r="AE715" s="61" t="n"/>
      <c r="AF715" s="61" t="n"/>
      <c r="AG715" s="61" t="n"/>
      <c r="AH715" s="61" t="n"/>
    </row>
    <row r="716" ht="15.75" customHeight="1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1" t="n"/>
      <c r="X716" s="61" t="n"/>
      <c r="Y716" s="61" t="n"/>
      <c r="Z716" s="61" t="n"/>
      <c r="AA716" s="61" t="n"/>
      <c r="AB716" s="61" t="n"/>
      <c r="AC716" s="61" t="n"/>
      <c r="AD716" s="61" t="n"/>
      <c r="AE716" s="61" t="n"/>
      <c r="AF716" s="61" t="n"/>
      <c r="AG716" s="61" t="n"/>
      <c r="AH716" s="61" t="n"/>
    </row>
    <row r="717" ht="15.75" customHeight="1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1" t="n"/>
      <c r="X717" s="61" t="n"/>
      <c r="Y717" s="61" t="n"/>
      <c r="Z717" s="61" t="n"/>
      <c r="AA717" s="61" t="n"/>
      <c r="AB717" s="61" t="n"/>
      <c r="AC717" s="61" t="n"/>
      <c r="AD717" s="61" t="n"/>
      <c r="AE717" s="61" t="n"/>
      <c r="AF717" s="61" t="n"/>
      <c r="AG717" s="61" t="n"/>
      <c r="AH717" s="61" t="n"/>
    </row>
    <row r="718" ht="15.75" customHeight="1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1" t="n"/>
      <c r="X718" s="61" t="n"/>
      <c r="Y718" s="61" t="n"/>
      <c r="Z718" s="61" t="n"/>
      <c r="AA718" s="61" t="n"/>
      <c r="AB718" s="61" t="n"/>
      <c r="AC718" s="61" t="n"/>
      <c r="AD718" s="61" t="n"/>
      <c r="AE718" s="61" t="n"/>
      <c r="AF718" s="61" t="n"/>
      <c r="AG718" s="61" t="n"/>
      <c r="AH718" s="61" t="n"/>
    </row>
    <row r="719" ht="15.75" customHeight="1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1" t="n"/>
      <c r="X719" s="61" t="n"/>
      <c r="Y719" s="61" t="n"/>
      <c r="Z719" s="61" t="n"/>
      <c r="AA719" s="61" t="n"/>
      <c r="AB719" s="61" t="n"/>
      <c r="AC719" s="61" t="n"/>
      <c r="AD719" s="61" t="n"/>
      <c r="AE719" s="61" t="n"/>
      <c r="AF719" s="61" t="n"/>
      <c r="AG719" s="61" t="n"/>
      <c r="AH719" s="61" t="n"/>
    </row>
    <row r="720" ht="15.75" customHeight="1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1" t="n"/>
      <c r="X720" s="61" t="n"/>
      <c r="Y720" s="61" t="n"/>
      <c r="Z720" s="61" t="n"/>
      <c r="AA720" s="61" t="n"/>
      <c r="AB720" s="61" t="n"/>
      <c r="AC720" s="61" t="n"/>
      <c r="AD720" s="61" t="n"/>
      <c r="AE720" s="61" t="n"/>
      <c r="AF720" s="61" t="n"/>
      <c r="AG720" s="61" t="n"/>
      <c r="AH720" s="61" t="n"/>
    </row>
    <row r="721" ht="15.75" customHeight="1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1" t="n"/>
      <c r="X721" s="61" t="n"/>
      <c r="Y721" s="61" t="n"/>
      <c r="Z721" s="61" t="n"/>
      <c r="AA721" s="61" t="n"/>
      <c r="AB721" s="61" t="n"/>
      <c r="AC721" s="61" t="n"/>
      <c r="AD721" s="61" t="n"/>
      <c r="AE721" s="61" t="n"/>
      <c r="AF721" s="61" t="n"/>
      <c r="AG721" s="61" t="n"/>
      <c r="AH721" s="61" t="n"/>
    </row>
    <row r="722" ht="15.75" customHeight="1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1" t="n"/>
      <c r="X722" s="61" t="n"/>
      <c r="Y722" s="61" t="n"/>
      <c r="Z722" s="61" t="n"/>
      <c r="AA722" s="61" t="n"/>
      <c r="AB722" s="61" t="n"/>
      <c r="AC722" s="61" t="n"/>
      <c r="AD722" s="61" t="n"/>
      <c r="AE722" s="61" t="n"/>
      <c r="AF722" s="61" t="n"/>
      <c r="AG722" s="61" t="n"/>
      <c r="AH722" s="61" t="n"/>
    </row>
    <row r="723" ht="15.75" customHeight="1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1" t="n"/>
      <c r="X723" s="61" t="n"/>
      <c r="Y723" s="61" t="n"/>
      <c r="Z723" s="61" t="n"/>
      <c r="AA723" s="61" t="n"/>
      <c r="AB723" s="61" t="n"/>
      <c r="AC723" s="61" t="n"/>
      <c r="AD723" s="61" t="n"/>
      <c r="AE723" s="61" t="n"/>
      <c r="AF723" s="61" t="n"/>
      <c r="AG723" s="61" t="n"/>
      <c r="AH723" s="61" t="n"/>
    </row>
    <row r="724" ht="15.75" customHeight="1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1" t="n"/>
      <c r="X724" s="61" t="n"/>
      <c r="Y724" s="61" t="n"/>
      <c r="Z724" s="61" t="n"/>
      <c r="AA724" s="61" t="n"/>
      <c r="AB724" s="61" t="n"/>
      <c r="AC724" s="61" t="n"/>
      <c r="AD724" s="61" t="n"/>
      <c r="AE724" s="61" t="n"/>
      <c r="AF724" s="61" t="n"/>
      <c r="AG724" s="61" t="n"/>
      <c r="AH724" s="61" t="n"/>
    </row>
    <row r="725" ht="15.75" customHeight="1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1" t="n"/>
      <c r="X725" s="61" t="n"/>
      <c r="Y725" s="61" t="n"/>
      <c r="Z725" s="61" t="n"/>
      <c r="AA725" s="61" t="n"/>
      <c r="AB725" s="61" t="n"/>
      <c r="AC725" s="61" t="n"/>
      <c r="AD725" s="61" t="n"/>
      <c r="AE725" s="61" t="n"/>
      <c r="AF725" s="61" t="n"/>
      <c r="AG725" s="61" t="n"/>
      <c r="AH725" s="61" t="n"/>
    </row>
    <row r="726" ht="15.75" customHeight="1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1" t="n"/>
      <c r="X726" s="61" t="n"/>
      <c r="Y726" s="61" t="n"/>
      <c r="Z726" s="61" t="n"/>
      <c r="AA726" s="61" t="n"/>
      <c r="AB726" s="61" t="n"/>
      <c r="AC726" s="61" t="n"/>
      <c r="AD726" s="61" t="n"/>
      <c r="AE726" s="61" t="n"/>
      <c r="AF726" s="61" t="n"/>
      <c r="AG726" s="61" t="n"/>
      <c r="AH726" s="61" t="n"/>
    </row>
    <row r="727" ht="15.75" customHeight="1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1" t="n"/>
      <c r="X727" s="61" t="n"/>
      <c r="Y727" s="61" t="n"/>
      <c r="Z727" s="61" t="n"/>
      <c r="AA727" s="61" t="n"/>
      <c r="AB727" s="61" t="n"/>
      <c r="AC727" s="61" t="n"/>
      <c r="AD727" s="61" t="n"/>
      <c r="AE727" s="61" t="n"/>
      <c r="AF727" s="61" t="n"/>
      <c r="AG727" s="61" t="n"/>
      <c r="AH727" s="61" t="n"/>
    </row>
    <row r="728" ht="15.75" customHeight="1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1" t="n"/>
      <c r="X728" s="61" t="n"/>
      <c r="Y728" s="61" t="n"/>
      <c r="Z728" s="61" t="n"/>
      <c r="AA728" s="61" t="n"/>
      <c r="AB728" s="61" t="n"/>
      <c r="AC728" s="61" t="n"/>
      <c r="AD728" s="61" t="n"/>
      <c r="AE728" s="61" t="n"/>
      <c r="AF728" s="61" t="n"/>
      <c r="AG728" s="61" t="n"/>
      <c r="AH728" s="61" t="n"/>
    </row>
    <row r="729" ht="15.75" customHeight="1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1" t="n"/>
      <c r="X729" s="61" t="n"/>
      <c r="Y729" s="61" t="n"/>
      <c r="Z729" s="61" t="n"/>
      <c r="AA729" s="61" t="n"/>
      <c r="AB729" s="61" t="n"/>
      <c r="AC729" s="61" t="n"/>
      <c r="AD729" s="61" t="n"/>
      <c r="AE729" s="61" t="n"/>
      <c r="AF729" s="61" t="n"/>
      <c r="AG729" s="61" t="n"/>
      <c r="AH729" s="61" t="n"/>
    </row>
    <row r="730" ht="15.75" customHeight="1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1" t="n"/>
      <c r="X730" s="61" t="n"/>
      <c r="Y730" s="61" t="n"/>
      <c r="Z730" s="61" t="n"/>
      <c r="AA730" s="61" t="n"/>
      <c r="AB730" s="61" t="n"/>
      <c r="AC730" s="61" t="n"/>
      <c r="AD730" s="61" t="n"/>
      <c r="AE730" s="61" t="n"/>
      <c r="AF730" s="61" t="n"/>
      <c r="AG730" s="61" t="n"/>
      <c r="AH730" s="61" t="n"/>
    </row>
    <row r="731" ht="15.75" customHeight="1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1" t="n"/>
      <c r="X731" s="61" t="n"/>
      <c r="Y731" s="61" t="n"/>
      <c r="Z731" s="61" t="n"/>
      <c r="AA731" s="61" t="n"/>
      <c r="AB731" s="61" t="n"/>
      <c r="AC731" s="61" t="n"/>
      <c r="AD731" s="61" t="n"/>
      <c r="AE731" s="61" t="n"/>
      <c r="AF731" s="61" t="n"/>
      <c r="AG731" s="61" t="n"/>
      <c r="AH731" s="61" t="n"/>
    </row>
    <row r="732" ht="15.75" customHeight="1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1" t="n"/>
      <c r="X732" s="61" t="n"/>
      <c r="Y732" s="61" t="n"/>
      <c r="Z732" s="61" t="n"/>
      <c r="AA732" s="61" t="n"/>
      <c r="AB732" s="61" t="n"/>
      <c r="AC732" s="61" t="n"/>
      <c r="AD732" s="61" t="n"/>
      <c r="AE732" s="61" t="n"/>
      <c r="AF732" s="61" t="n"/>
      <c r="AG732" s="61" t="n"/>
      <c r="AH732" s="61" t="n"/>
    </row>
    <row r="733" ht="15.75" customHeight="1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1" t="n"/>
      <c r="X733" s="61" t="n"/>
      <c r="Y733" s="61" t="n"/>
      <c r="Z733" s="61" t="n"/>
      <c r="AA733" s="61" t="n"/>
      <c r="AB733" s="61" t="n"/>
      <c r="AC733" s="61" t="n"/>
      <c r="AD733" s="61" t="n"/>
      <c r="AE733" s="61" t="n"/>
      <c r="AF733" s="61" t="n"/>
      <c r="AG733" s="61" t="n"/>
      <c r="AH733" s="61" t="n"/>
    </row>
    <row r="734" ht="15.75" customHeight="1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1" t="n"/>
      <c r="X734" s="61" t="n"/>
      <c r="Y734" s="61" t="n"/>
      <c r="Z734" s="61" t="n"/>
      <c r="AA734" s="61" t="n"/>
      <c r="AB734" s="61" t="n"/>
      <c r="AC734" s="61" t="n"/>
      <c r="AD734" s="61" t="n"/>
      <c r="AE734" s="61" t="n"/>
      <c r="AF734" s="61" t="n"/>
      <c r="AG734" s="61" t="n"/>
      <c r="AH734" s="61" t="n"/>
    </row>
    <row r="735" ht="15.75" customHeight="1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1" t="n"/>
      <c r="X735" s="61" t="n"/>
      <c r="Y735" s="61" t="n"/>
      <c r="Z735" s="61" t="n"/>
      <c r="AA735" s="61" t="n"/>
      <c r="AB735" s="61" t="n"/>
      <c r="AC735" s="61" t="n"/>
      <c r="AD735" s="61" t="n"/>
      <c r="AE735" s="61" t="n"/>
      <c r="AF735" s="61" t="n"/>
      <c r="AG735" s="61" t="n"/>
      <c r="AH735" s="61" t="n"/>
    </row>
    <row r="736" ht="15.75" customHeight="1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1" t="n"/>
      <c r="X736" s="61" t="n"/>
      <c r="Y736" s="61" t="n"/>
      <c r="Z736" s="61" t="n"/>
      <c r="AA736" s="61" t="n"/>
      <c r="AB736" s="61" t="n"/>
      <c r="AC736" s="61" t="n"/>
      <c r="AD736" s="61" t="n"/>
      <c r="AE736" s="61" t="n"/>
      <c r="AF736" s="61" t="n"/>
      <c r="AG736" s="61" t="n"/>
      <c r="AH736" s="61" t="n"/>
    </row>
    <row r="737" ht="15.75" customHeight="1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1" t="n"/>
      <c r="X737" s="61" t="n"/>
      <c r="Y737" s="61" t="n"/>
      <c r="Z737" s="61" t="n"/>
      <c r="AA737" s="61" t="n"/>
      <c r="AB737" s="61" t="n"/>
      <c r="AC737" s="61" t="n"/>
      <c r="AD737" s="61" t="n"/>
      <c r="AE737" s="61" t="n"/>
      <c r="AF737" s="61" t="n"/>
      <c r="AG737" s="61" t="n"/>
      <c r="AH737" s="61" t="n"/>
    </row>
    <row r="738" ht="15.75" customHeight="1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1" t="n"/>
      <c r="X738" s="61" t="n"/>
      <c r="Y738" s="61" t="n"/>
      <c r="Z738" s="61" t="n"/>
      <c r="AA738" s="61" t="n"/>
      <c r="AB738" s="61" t="n"/>
      <c r="AC738" s="61" t="n"/>
      <c r="AD738" s="61" t="n"/>
      <c r="AE738" s="61" t="n"/>
      <c r="AF738" s="61" t="n"/>
      <c r="AG738" s="61" t="n"/>
      <c r="AH738" s="61" t="n"/>
    </row>
    <row r="739" ht="15.75" customHeight="1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1" t="n"/>
      <c r="X739" s="61" t="n"/>
      <c r="Y739" s="61" t="n"/>
      <c r="Z739" s="61" t="n"/>
      <c r="AA739" s="61" t="n"/>
      <c r="AB739" s="61" t="n"/>
      <c r="AC739" s="61" t="n"/>
      <c r="AD739" s="61" t="n"/>
      <c r="AE739" s="61" t="n"/>
      <c r="AF739" s="61" t="n"/>
      <c r="AG739" s="61" t="n"/>
      <c r="AH739" s="61" t="n"/>
    </row>
    <row r="740" ht="15.75" customHeight="1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1" t="n"/>
      <c r="X740" s="61" t="n"/>
      <c r="Y740" s="61" t="n"/>
      <c r="Z740" s="61" t="n"/>
      <c r="AA740" s="61" t="n"/>
      <c r="AB740" s="61" t="n"/>
      <c r="AC740" s="61" t="n"/>
      <c r="AD740" s="61" t="n"/>
      <c r="AE740" s="61" t="n"/>
      <c r="AF740" s="61" t="n"/>
      <c r="AG740" s="61" t="n"/>
      <c r="AH740" s="61" t="n"/>
    </row>
    <row r="741" ht="15.75" customHeight="1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1" t="n"/>
      <c r="X741" s="61" t="n"/>
      <c r="Y741" s="61" t="n"/>
      <c r="Z741" s="61" t="n"/>
      <c r="AA741" s="61" t="n"/>
      <c r="AB741" s="61" t="n"/>
      <c r="AC741" s="61" t="n"/>
      <c r="AD741" s="61" t="n"/>
      <c r="AE741" s="61" t="n"/>
      <c r="AF741" s="61" t="n"/>
      <c r="AG741" s="61" t="n"/>
      <c r="AH741" s="61" t="n"/>
    </row>
    <row r="742" ht="15.75" customHeight="1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1" t="n"/>
      <c r="X742" s="61" t="n"/>
      <c r="Y742" s="61" t="n"/>
      <c r="Z742" s="61" t="n"/>
      <c r="AA742" s="61" t="n"/>
      <c r="AB742" s="61" t="n"/>
      <c r="AC742" s="61" t="n"/>
      <c r="AD742" s="61" t="n"/>
      <c r="AE742" s="61" t="n"/>
      <c r="AF742" s="61" t="n"/>
      <c r="AG742" s="61" t="n"/>
      <c r="AH742" s="61" t="n"/>
    </row>
    <row r="743" ht="15.75" customHeight="1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1" t="n"/>
      <c r="X743" s="61" t="n"/>
      <c r="Y743" s="61" t="n"/>
      <c r="Z743" s="61" t="n"/>
      <c r="AA743" s="61" t="n"/>
      <c r="AB743" s="61" t="n"/>
      <c r="AC743" s="61" t="n"/>
      <c r="AD743" s="61" t="n"/>
      <c r="AE743" s="61" t="n"/>
      <c r="AF743" s="61" t="n"/>
      <c r="AG743" s="61" t="n"/>
      <c r="AH743" s="61" t="n"/>
    </row>
    <row r="744" ht="15.75" customHeight="1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1" t="n"/>
      <c r="X744" s="61" t="n"/>
      <c r="Y744" s="61" t="n"/>
      <c r="Z744" s="61" t="n"/>
      <c r="AA744" s="61" t="n"/>
      <c r="AB744" s="61" t="n"/>
      <c r="AC744" s="61" t="n"/>
      <c r="AD744" s="61" t="n"/>
      <c r="AE744" s="61" t="n"/>
      <c r="AF744" s="61" t="n"/>
      <c r="AG744" s="61" t="n"/>
      <c r="AH744" s="61" t="n"/>
    </row>
    <row r="745" ht="15.75" customHeight="1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1" t="n"/>
      <c r="X745" s="61" t="n"/>
      <c r="Y745" s="61" t="n"/>
      <c r="Z745" s="61" t="n"/>
      <c r="AA745" s="61" t="n"/>
      <c r="AB745" s="61" t="n"/>
      <c r="AC745" s="61" t="n"/>
      <c r="AD745" s="61" t="n"/>
      <c r="AE745" s="61" t="n"/>
      <c r="AF745" s="61" t="n"/>
      <c r="AG745" s="61" t="n"/>
      <c r="AH745" s="61" t="n"/>
    </row>
    <row r="746" ht="15.75" customHeight="1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1" t="n"/>
      <c r="X746" s="61" t="n"/>
      <c r="Y746" s="61" t="n"/>
      <c r="Z746" s="61" t="n"/>
      <c r="AA746" s="61" t="n"/>
      <c r="AB746" s="61" t="n"/>
      <c r="AC746" s="61" t="n"/>
      <c r="AD746" s="61" t="n"/>
      <c r="AE746" s="61" t="n"/>
      <c r="AF746" s="61" t="n"/>
      <c r="AG746" s="61" t="n"/>
      <c r="AH746" s="61" t="n"/>
    </row>
    <row r="747" ht="15.75" customHeight="1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1" t="n"/>
      <c r="X747" s="61" t="n"/>
      <c r="Y747" s="61" t="n"/>
      <c r="Z747" s="61" t="n"/>
      <c r="AA747" s="61" t="n"/>
      <c r="AB747" s="61" t="n"/>
      <c r="AC747" s="61" t="n"/>
      <c r="AD747" s="61" t="n"/>
      <c r="AE747" s="61" t="n"/>
      <c r="AF747" s="61" t="n"/>
      <c r="AG747" s="61" t="n"/>
      <c r="AH747" s="61" t="n"/>
    </row>
    <row r="748" ht="15.75" customHeight="1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1" t="n"/>
      <c r="X748" s="61" t="n"/>
      <c r="Y748" s="61" t="n"/>
      <c r="Z748" s="61" t="n"/>
      <c r="AA748" s="61" t="n"/>
      <c r="AB748" s="61" t="n"/>
      <c r="AC748" s="61" t="n"/>
      <c r="AD748" s="61" t="n"/>
      <c r="AE748" s="61" t="n"/>
      <c r="AF748" s="61" t="n"/>
      <c r="AG748" s="61" t="n"/>
      <c r="AH748" s="61" t="n"/>
    </row>
    <row r="749" ht="15.75" customHeight="1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1" t="n"/>
      <c r="X749" s="61" t="n"/>
      <c r="Y749" s="61" t="n"/>
      <c r="Z749" s="61" t="n"/>
      <c r="AA749" s="61" t="n"/>
      <c r="AB749" s="61" t="n"/>
      <c r="AC749" s="61" t="n"/>
      <c r="AD749" s="61" t="n"/>
      <c r="AE749" s="61" t="n"/>
      <c r="AF749" s="61" t="n"/>
      <c r="AG749" s="61" t="n"/>
      <c r="AH749" s="61" t="n"/>
    </row>
    <row r="750" ht="15.75" customHeight="1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1" t="n"/>
      <c r="X750" s="61" t="n"/>
      <c r="Y750" s="61" t="n"/>
      <c r="Z750" s="61" t="n"/>
      <c r="AA750" s="61" t="n"/>
      <c r="AB750" s="61" t="n"/>
      <c r="AC750" s="61" t="n"/>
      <c r="AD750" s="61" t="n"/>
      <c r="AE750" s="61" t="n"/>
      <c r="AF750" s="61" t="n"/>
      <c r="AG750" s="61" t="n"/>
      <c r="AH750" s="61" t="n"/>
    </row>
    <row r="751" ht="15.75" customHeight="1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1" t="n"/>
      <c r="X751" s="61" t="n"/>
      <c r="Y751" s="61" t="n"/>
      <c r="Z751" s="61" t="n"/>
      <c r="AA751" s="61" t="n"/>
      <c r="AB751" s="61" t="n"/>
      <c r="AC751" s="61" t="n"/>
      <c r="AD751" s="61" t="n"/>
      <c r="AE751" s="61" t="n"/>
      <c r="AF751" s="61" t="n"/>
      <c r="AG751" s="61" t="n"/>
      <c r="AH751" s="61" t="n"/>
    </row>
    <row r="752" ht="15.75" customHeight="1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1" t="n"/>
      <c r="X752" s="61" t="n"/>
      <c r="Y752" s="61" t="n"/>
      <c r="Z752" s="61" t="n"/>
      <c r="AA752" s="61" t="n"/>
      <c r="AB752" s="61" t="n"/>
      <c r="AC752" s="61" t="n"/>
      <c r="AD752" s="61" t="n"/>
      <c r="AE752" s="61" t="n"/>
      <c r="AF752" s="61" t="n"/>
      <c r="AG752" s="61" t="n"/>
      <c r="AH752" s="61" t="n"/>
    </row>
    <row r="753" ht="15.75" customHeight="1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1" t="n"/>
      <c r="X753" s="61" t="n"/>
      <c r="Y753" s="61" t="n"/>
      <c r="Z753" s="61" t="n"/>
      <c r="AA753" s="61" t="n"/>
      <c r="AB753" s="61" t="n"/>
      <c r="AC753" s="61" t="n"/>
      <c r="AD753" s="61" t="n"/>
      <c r="AE753" s="61" t="n"/>
      <c r="AF753" s="61" t="n"/>
      <c r="AG753" s="61" t="n"/>
      <c r="AH753" s="61" t="n"/>
    </row>
    <row r="754" ht="15.75" customHeight="1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1" t="n"/>
      <c r="X754" s="61" t="n"/>
      <c r="Y754" s="61" t="n"/>
      <c r="Z754" s="61" t="n"/>
      <c r="AA754" s="61" t="n"/>
      <c r="AB754" s="61" t="n"/>
      <c r="AC754" s="61" t="n"/>
      <c r="AD754" s="61" t="n"/>
      <c r="AE754" s="61" t="n"/>
      <c r="AF754" s="61" t="n"/>
      <c r="AG754" s="61" t="n"/>
      <c r="AH754" s="61" t="n"/>
    </row>
    <row r="755" ht="15.75" customHeight="1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1" t="n"/>
      <c r="X755" s="61" t="n"/>
      <c r="Y755" s="61" t="n"/>
      <c r="Z755" s="61" t="n"/>
      <c r="AA755" s="61" t="n"/>
      <c r="AB755" s="61" t="n"/>
      <c r="AC755" s="61" t="n"/>
      <c r="AD755" s="61" t="n"/>
      <c r="AE755" s="61" t="n"/>
      <c r="AF755" s="61" t="n"/>
      <c r="AG755" s="61" t="n"/>
      <c r="AH755" s="61" t="n"/>
    </row>
    <row r="756" ht="15.75" customHeight="1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1" t="n"/>
      <c r="X756" s="61" t="n"/>
      <c r="Y756" s="61" t="n"/>
      <c r="Z756" s="61" t="n"/>
      <c r="AA756" s="61" t="n"/>
      <c r="AB756" s="61" t="n"/>
      <c r="AC756" s="61" t="n"/>
      <c r="AD756" s="61" t="n"/>
      <c r="AE756" s="61" t="n"/>
      <c r="AF756" s="61" t="n"/>
      <c r="AG756" s="61" t="n"/>
      <c r="AH756" s="61" t="n"/>
    </row>
    <row r="757" ht="15.75" customHeight="1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1" t="n"/>
      <c r="X757" s="61" t="n"/>
      <c r="Y757" s="61" t="n"/>
      <c r="Z757" s="61" t="n"/>
      <c r="AA757" s="61" t="n"/>
      <c r="AB757" s="61" t="n"/>
      <c r="AC757" s="61" t="n"/>
      <c r="AD757" s="61" t="n"/>
      <c r="AE757" s="61" t="n"/>
      <c r="AF757" s="61" t="n"/>
      <c r="AG757" s="61" t="n"/>
      <c r="AH757" s="61" t="n"/>
    </row>
    <row r="758" ht="15.75" customHeight="1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1" t="n"/>
      <c r="X758" s="61" t="n"/>
      <c r="Y758" s="61" t="n"/>
      <c r="Z758" s="61" t="n"/>
      <c r="AA758" s="61" t="n"/>
      <c r="AB758" s="61" t="n"/>
      <c r="AC758" s="61" t="n"/>
      <c r="AD758" s="61" t="n"/>
      <c r="AE758" s="61" t="n"/>
      <c r="AF758" s="61" t="n"/>
      <c r="AG758" s="61" t="n"/>
      <c r="AH758" s="61" t="n"/>
    </row>
    <row r="759" ht="15.75" customHeight="1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1" t="n"/>
      <c r="X759" s="61" t="n"/>
      <c r="Y759" s="61" t="n"/>
      <c r="Z759" s="61" t="n"/>
      <c r="AA759" s="61" t="n"/>
      <c r="AB759" s="61" t="n"/>
      <c r="AC759" s="61" t="n"/>
      <c r="AD759" s="61" t="n"/>
      <c r="AE759" s="61" t="n"/>
      <c r="AF759" s="61" t="n"/>
      <c r="AG759" s="61" t="n"/>
      <c r="AH759" s="61" t="n"/>
    </row>
    <row r="760" ht="15.75" customHeight="1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1" t="n"/>
      <c r="X760" s="61" t="n"/>
      <c r="Y760" s="61" t="n"/>
      <c r="Z760" s="61" t="n"/>
      <c r="AA760" s="61" t="n"/>
      <c r="AB760" s="61" t="n"/>
      <c r="AC760" s="61" t="n"/>
      <c r="AD760" s="61" t="n"/>
      <c r="AE760" s="61" t="n"/>
      <c r="AF760" s="61" t="n"/>
      <c r="AG760" s="61" t="n"/>
      <c r="AH760" s="61" t="n"/>
    </row>
    <row r="761" ht="15.75" customHeight="1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1" t="n"/>
      <c r="X761" s="61" t="n"/>
      <c r="Y761" s="61" t="n"/>
      <c r="Z761" s="61" t="n"/>
      <c r="AA761" s="61" t="n"/>
      <c r="AB761" s="61" t="n"/>
      <c r="AC761" s="61" t="n"/>
      <c r="AD761" s="61" t="n"/>
      <c r="AE761" s="61" t="n"/>
      <c r="AF761" s="61" t="n"/>
      <c r="AG761" s="61" t="n"/>
      <c r="AH761" s="61" t="n"/>
    </row>
    <row r="762" ht="15.75" customHeight="1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1" t="n"/>
      <c r="X762" s="61" t="n"/>
      <c r="Y762" s="61" t="n"/>
      <c r="Z762" s="61" t="n"/>
      <c r="AA762" s="61" t="n"/>
      <c r="AB762" s="61" t="n"/>
      <c r="AC762" s="61" t="n"/>
      <c r="AD762" s="61" t="n"/>
      <c r="AE762" s="61" t="n"/>
      <c r="AF762" s="61" t="n"/>
      <c r="AG762" s="61" t="n"/>
      <c r="AH762" s="61" t="n"/>
    </row>
    <row r="763" ht="15.75" customHeight="1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1" t="n"/>
      <c r="X763" s="61" t="n"/>
      <c r="Y763" s="61" t="n"/>
      <c r="Z763" s="61" t="n"/>
      <c r="AA763" s="61" t="n"/>
      <c r="AB763" s="61" t="n"/>
      <c r="AC763" s="61" t="n"/>
      <c r="AD763" s="61" t="n"/>
      <c r="AE763" s="61" t="n"/>
      <c r="AF763" s="61" t="n"/>
      <c r="AG763" s="61" t="n"/>
      <c r="AH763" s="61" t="n"/>
    </row>
    <row r="764" ht="15.75" customHeight="1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1" t="n"/>
      <c r="X764" s="61" t="n"/>
      <c r="Y764" s="61" t="n"/>
      <c r="Z764" s="61" t="n"/>
      <c r="AA764" s="61" t="n"/>
      <c r="AB764" s="61" t="n"/>
      <c r="AC764" s="61" t="n"/>
      <c r="AD764" s="61" t="n"/>
      <c r="AE764" s="61" t="n"/>
      <c r="AF764" s="61" t="n"/>
      <c r="AG764" s="61" t="n"/>
      <c r="AH764" s="61" t="n"/>
    </row>
    <row r="765" ht="15.75" customHeight="1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1" t="n"/>
      <c r="X765" s="61" t="n"/>
      <c r="Y765" s="61" t="n"/>
      <c r="Z765" s="61" t="n"/>
      <c r="AA765" s="61" t="n"/>
      <c r="AB765" s="61" t="n"/>
      <c r="AC765" s="61" t="n"/>
      <c r="AD765" s="61" t="n"/>
      <c r="AE765" s="61" t="n"/>
      <c r="AF765" s="61" t="n"/>
      <c r="AG765" s="61" t="n"/>
      <c r="AH765" s="61" t="n"/>
    </row>
    <row r="766" ht="15.75" customHeight="1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1" t="n"/>
      <c r="X766" s="61" t="n"/>
      <c r="Y766" s="61" t="n"/>
      <c r="Z766" s="61" t="n"/>
      <c r="AA766" s="61" t="n"/>
      <c r="AB766" s="61" t="n"/>
      <c r="AC766" s="61" t="n"/>
      <c r="AD766" s="61" t="n"/>
      <c r="AE766" s="61" t="n"/>
      <c r="AF766" s="61" t="n"/>
      <c r="AG766" s="61" t="n"/>
      <c r="AH766" s="61" t="n"/>
    </row>
    <row r="767" ht="15.75" customHeight="1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1" t="n"/>
      <c r="X767" s="61" t="n"/>
      <c r="Y767" s="61" t="n"/>
      <c r="Z767" s="61" t="n"/>
      <c r="AA767" s="61" t="n"/>
      <c r="AB767" s="61" t="n"/>
      <c r="AC767" s="61" t="n"/>
      <c r="AD767" s="61" t="n"/>
      <c r="AE767" s="61" t="n"/>
      <c r="AF767" s="61" t="n"/>
      <c r="AG767" s="61" t="n"/>
      <c r="AH767" s="61" t="n"/>
    </row>
    <row r="768" ht="15.75" customHeight="1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1" t="n"/>
      <c r="X768" s="61" t="n"/>
      <c r="Y768" s="61" t="n"/>
      <c r="Z768" s="61" t="n"/>
      <c r="AA768" s="61" t="n"/>
      <c r="AB768" s="61" t="n"/>
      <c r="AC768" s="61" t="n"/>
      <c r="AD768" s="61" t="n"/>
      <c r="AE768" s="61" t="n"/>
      <c r="AF768" s="61" t="n"/>
      <c r="AG768" s="61" t="n"/>
      <c r="AH768" s="61" t="n"/>
    </row>
    <row r="769" ht="15.75" customHeight="1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1" t="n"/>
      <c r="X769" s="61" t="n"/>
      <c r="Y769" s="61" t="n"/>
      <c r="Z769" s="61" t="n"/>
      <c r="AA769" s="61" t="n"/>
      <c r="AB769" s="61" t="n"/>
      <c r="AC769" s="61" t="n"/>
      <c r="AD769" s="61" t="n"/>
      <c r="AE769" s="61" t="n"/>
      <c r="AF769" s="61" t="n"/>
      <c r="AG769" s="61" t="n"/>
      <c r="AH769" s="61" t="n"/>
    </row>
    <row r="770" ht="15.75" customHeight="1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1" t="n"/>
      <c r="X770" s="61" t="n"/>
      <c r="Y770" s="61" t="n"/>
      <c r="Z770" s="61" t="n"/>
      <c r="AA770" s="61" t="n"/>
      <c r="AB770" s="61" t="n"/>
      <c r="AC770" s="61" t="n"/>
      <c r="AD770" s="61" t="n"/>
      <c r="AE770" s="61" t="n"/>
      <c r="AF770" s="61" t="n"/>
      <c r="AG770" s="61" t="n"/>
      <c r="AH770" s="61" t="n"/>
    </row>
    <row r="771" ht="15.75" customHeight="1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1" t="n"/>
      <c r="X771" s="61" t="n"/>
      <c r="Y771" s="61" t="n"/>
      <c r="Z771" s="61" t="n"/>
      <c r="AA771" s="61" t="n"/>
      <c r="AB771" s="61" t="n"/>
      <c r="AC771" s="61" t="n"/>
      <c r="AD771" s="61" t="n"/>
      <c r="AE771" s="61" t="n"/>
      <c r="AF771" s="61" t="n"/>
      <c r="AG771" s="61" t="n"/>
      <c r="AH771" s="61" t="n"/>
    </row>
    <row r="772" ht="15.75" customHeight="1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1" t="n"/>
      <c r="X772" s="61" t="n"/>
      <c r="Y772" s="61" t="n"/>
      <c r="Z772" s="61" t="n"/>
      <c r="AA772" s="61" t="n"/>
      <c r="AB772" s="61" t="n"/>
      <c r="AC772" s="61" t="n"/>
      <c r="AD772" s="61" t="n"/>
      <c r="AE772" s="61" t="n"/>
      <c r="AF772" s="61" t="n"/>
      <c r="AG772" s="61" t="n"/>
      <c r="AH772" s="61" t="n"/>
    </row>
    <row r="773" ht="15.75" customHeight="1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1" t="n"/>
      <c r="X773" s="61" t="n"/>
      <c r="Y773" s="61" t="n"/>
      <c r="Z773" s="61" t="n"/>
      <c r="AA773" s="61" t="n"/>
      <c r="AB773" s="61" t="n"/>
      <c r="AC773" s="61" t="n"/>
      <c r="AD773" s="61" t="n"/>
      <c r="AE773" s="61" t="n"/>
      <c r="AF773" s="61" t="n"/>
      <c r="AG773" s="61" t="n"/>
      <c r="AH773" s="61" t="n"/>
    </row>
    <row r="774" ht="15.75" customHeight="1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1" t="n"/>
      <c r="X774" s="61" t="n"/>
      <c r="Y774" s="61" t="n"/>
      <c r="Z774" s="61" t="n"/>
      <c r="AA774" s="61" t="n"/>
      <c r="AB774" s="61" t="n"/>
      <c r="AC774" s="61" t="n"/>
      <c r="AD774" s="61" t="n"/>
      <c r="AE774" s="61" t="n"/>
      <c r="AF774" s="61" t="n"/>
      <c r="AG774" s="61" t="n"/>
      <c r="AH774" s="61" t="n"/>
    </row>
    <row r="775" ht="15.75" customHeight="1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1" t="n"/>
      <c r="X775" s="61" t="n"/>
      <c r="Y775" s="61" t="n"/>
      <c r="Z775" s="61" t="n"/>
      <c r="AA775" s="61" t="n"/>
      <c r="AB775" s="61" t="n"/>
      <c r="AC775" s="61" t="n"/>
      <c r="AD775" s="61" t="n"/>
      <c r="AE775" s="61" t="n"/>
      <c r="AF775" s="61" t="n"/>
      <c r="AG775" s="61" t="n"/>
      <c r="AH775" s="61" t="n"/>
    </row>
    <row r="776" ht="15.75" customHeight="1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1" t="n"/>
      <c r="X776" s="61" t="n"/>
      <c r="Y776" s="61" t="n"/>
      <c r="Z776" s="61" t="n"/>
      <c r="AA776" s="61" t="n"/>
      <c r="AB776" s="61" t="n"/>
      <c r="AC776" s="61" t="n"/>
      <c r="AD776" s="61" t="n"/>
      <c r="AE776" s="61" t="n"/>
      <c r="AF776" s="61" t="n"/>
      <c r="AG776" s="61" t="n"/>
      <c r="AH776" s="61" t="n"/>
    </row>
    <row r="777" ht="15.75" customHeight="1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1" t="n"/>
      <c r="X777" s="61" t="n"/>
      <c r="Y777" s="61" t="n"/>
      <c r="Z777" s="61" t="n"/>
      <c r="AA777" s="61" t="n"/>
      <c r="AB777" s="61" t="n"/>
      <c r="AC777" s="61" t="n"/>
      <c r="AD777" s="61" t="n"/>
      <c r="AE777" s="61" t="n"/>
      <c r="AF777" s="61" t="n"/>
      <c r="AG777" s="61" t="n"/>
      <c r="AH777" s="61" t="n"/>
    </row>
    <row r="778" ht="15.75" customHeight="1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1" t="n"/>
      <c r="X778" s="61" t="n"/>
      <c r="Y778" s="61" t="n"/>
      <c r="Z778" s="61" t="n"/>
      <c r="AA778" s="61" t="n"/>
      <c r="AB778" s="61" t="n"/>
      <c r="AC778" s="61" t="n"/>
      <c r="AD778" s="61" t="n"/>
      <c r="AE778" s="61" t="n"/>
      <c r="AF778" s="61" t="n"/>
      <c r="AG778" s="61" t="n"/>
      <c r="AH778" s="61" t="n"/>
    </row>
    <row r="779" ht="15.75" customHeight="1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1" t="n"/>
      <c r="X779" s="61" t="n"/>
      <c r="Y779" s="61" t="n"/>
      <c r="Z779" s="61" t="n"/>
      <c r="AA779" s="61" t="n"/>
      <c r="AB779" s="61" t="n"/>
      <c r="AC779" s="61" t="n"/>
      <c r="AD779" s="61" t="n"/>
      <c r="AE779" s="61" t="n"/>
      <c r="AF779" s="61" t="n"/>
      <c r="AG779" s="61" t="n"/>
      <c r="AH779" s="61" t="n"/>
    </row>
    <row r="780" ht="15.75" customHeight="1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1" t="n"/>
      <c r="X780" s="61" t="n"/>
      <c r="Y780" s="61" t="n"/>
      <c r="Z780" s="61" t="n"/>
      <c r="AA780" s="61" t="n"/>
      <c r="AB780" s="61" t="n"/>
      <c r="AC780" s="61" t="n"/>
      <c r="AD780" s="61" t="n"/>
      <c r="AE780" s="61" t="n"/>
      <c r="AF780" s="61" t="n"/>
      <c r="AG780" s="61" t="n"/>
      <c r="AH780" s="61" t="n"/>
    </row>
    <row r="781" ht="15.75" customHeight="1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1" t="n"/>
      <c r="X781" s="61" t="n"/>
      <c r="Y781" s="61" t="n"/>
      <c r="Z781" s="61" t="n"/>
      <c r="AA781" s="61" t="n"/>
      <c r="AB781" s="61" t="n"/>
      <c r="AC781" s="61" t="n"/>
      <c r="AD781" s="61" t="n"/>
      <c r="AE781" s="61" t="n"/>
      <c r="AF781" s="61" t="n"/>
      <c r="AG781" s="61" t="n"/>
      <c r="AH781" s="61" t="n"/>
    </row>
    <row r="782" ht="15.75" customHeight="1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1" t="n"/>
      <c r="X782" s="61" t="n"/>
      <c r="Y782" s="61" t="n"/>
      <c r="Z782" s="61" t="n"/>
      <c r="AA782" s="61" t="n"/>
      <c r="AB782" s="61" t="n"/>
      <c r="AC782" s="61" t="n"/>
      <c r="AD782" s="61" t="n"/>
      <c r="AE782" s="61" t="n"/>
      <c r="AF782" s="61" t="n"/>
      <c r="AG782" s="61" t="n"/>
      <c r="AH782" s="61" t="n"/>
    </row>
    <row r="783" ht="15.75" customHeight="1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1" t="n"/>
      <c r="X783" s="61" t="n"/>
      <c r="Y783" s="61" t="n"/>
      <c r="Z783" s="61" t="n"/>
      <c r="AA783" s="61" t="n"/>
      <c r="AB783" s="61" t="n"/>
      <c r="AC783" s="61" t="n"/>
      <c r="AD783" s="61" t="n"/>
      <c r="AE783" s="61" t="n"/>
      <c r="AF783" s="61" t="n"/>
      <c r="AG783" s="61" t="n"/>
      <c r="AH783" s="61" t="n"/>
    </row>
    <row r="784" ht="15.75" customHeight="1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1" t="n"/>
      <c r="X784" s="61" t="n"/>
      <c r="Y784" s="61" t="n"/>
      <c r="Z784" s="61" t="n"/>
      <c r="AA784" s="61" t="n"/>
      <c r="AB784" s="61" t="n"/>
      <c r="AC784" s="61" t="n"/>
      <c r="AD784" s="61" t="n"/>
      <c r="AE784" s="61" t="n"/>
      <c r="AF784" s="61" t="n"/>
      <c r="AG784" s="61" t="n"/>
      <c r="AH784" s="61" t="n"/>
    </row>
    <row r="785" ht="15.75" customHeight="1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1" t="n"/>
      <c r="X785" s="61" t="n"/>
      <c r="Y785" s="61" t="n"/>
      <c r="Z785" s="61" t="n"/>
      <c r="AA785" s="61" t="n"/>
      <c r="AB785" s="61" t="n"/>
      <c r="AC785" s="61" t="n"/>
      <c r="AD785" s="61" t="n"/>
      <c r="AE785" s="61" t="n"/>
      <c r="AF785" s="61" t="n"/>
      <c r="AG785" s="61" t="n"/>
      <c r="AH785" s="61" t="n"/>
    </row>
    <row r="786" ht="15.75" customHeight="1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1" t="n"/>
      <c r="X786" s="61" t="n"/>
      <c r="Y786" s="61" t="n"/>
      <c r="Z786" s="61" t="n"/>
      <c r="AA786" s="61" t="n"/>
      <c r="AB786" s="61" t="n"/>
      <c r="AC786" s="61" t="n"/>
      <c r="AD786" s="61" t="n"/>
      <c r="AE786" s="61" t="n"/>
      <c r="AF786" s="61" t="n"/>
      <c r="AG786" s="61" t="n"/>
      <c r="AH786" s="61" t="n"/>
    </row>
    <row r="787" ht="15.75" customHeight="1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1" t="n"/>
      <c r="X787" s="61" t="n"/>
      <c r="Y787" s="61" t="n"/>
      <c r="Z787" s="61" t="n"/>
      <c r="AA787" s="61" t="n"/>
      <c r="AB787" s="61" t="n"/>
      <c r="AC787" s="61" t="n"/>
      <c r="AD787" s="61" t="n"/>
      <c r="AE787" s="61" t="n"/>
      <c r="AF787" s="61" t="n"/>
      <c r="AG787" s="61" t="n"/>
      <c r="AH787" s="61" t="n"/>
    </row>
    <row r="788" ht="15.75" customHeight="1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1" t="n"/>
      <c r="X788" s="61" t="n"/>
      <c r="Y788" s="61" t="n"/>
      <c r="Z788" s="61" t="n"/>
      <c r="AA788" s="61" t="n"/>
      <c r="AB788" s="61" t="n"/>
      <c r="AC788" s="61" t="n"/>
      <c r="AD788" s="61" t="n"/>
      <c r="AE788" s="61" t="n"/>
      <c r="AF788" s="61" t="n"/>
      <c r="AG788" s="61" t="n"/>
      <c r="AH788" s="61" t="n"/>
    </row>
    <row r="789" ht="15.75" customHeight="1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1" t="n"/>
      <c r="X789" s="61" t="n"/>
      <c r="Y789" s="61" t="n"/>
      <c r="Z789" s="61" t="n"/>
      <c r="AA789" s="61" t="n"/>
      <c r="AB789" s="61" t="n"/>
      <c r="AC789" s="61" t="n"/>
      <c r="AD789" s="61" t="n"/>
      <c r="AE789" s="61" t="n"/>
      <c r="AF789" s="61" t="n"/>
      <c r="AG789" s="61" t="n"/>
      <c r="AH789" s="61" t="n"/>
    </row>
    <row r="790" ht="15.75" customHeight="1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1" t="n"/>
      <c r="X790" s="61" t="n"/>
      <c r="Y790" s="61" t="n"/>
      <c r="Z790" s="61" t="n"/>
      <c r="AA790" s="61" t="n"/>
      <c r="AB790" s="61" t="n"/>
      <c r="AC790" s="61" t="n"/>
      <c r="AD790" s="61" t="n"/>
      <c r="AE790" s="61" t="n"/>
      <c r="AF790" s="61" t="n"/>
      <c r="AG790" s="61" t="n"/>
      <c r="AH790" s="61" t="n"/>
    </row>
    <row r="791" ht="15.75" customHeight="1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1" t="n"/>
      <c r="X791" s="61" t="n"/>
      <c r="Y791" s="61" t="n"/>
      <c r="Z791" s="61" t="n"/>
      <c r="AA791" s="61" t="n"/>
      <c r="AB791" s="61" t="n"/>
      <c r="AC791" s="61" t="n"/>
      <c r="AD791" s="61" t="n"/>
      <c r="AE791" s="61" t="n"/>
      <c r="AF791" s="61" t="n"/>
      <c r="AG791" s="61" t="n"/>
      <c r="AH791" s="61" t="n"/>
    </row>
    <row r="792" ht="15.75" customHeight="1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1" t="n"/>
      <c r="X792" s="61" t="n"/>
      <c r="Y792" s="61" t="n"/>
      <c r="Z792" s="61" t="n"/>
      <c r="AA792" s="61" t="n"/>
      <c r="AB792" s="61" t="n"/>
      <c r="AC792" s="61" t="n"/>
      <c r="AD792" s="61" t="n"/>
      <c r="AE792" s="61" t="n"/>
      <c r="AF792" s="61" t="n"/>
      <c r="AG792" s="61" t="n"/>
      <c r="AH792" s="61" t="n"/>
    </row>
    <row r="793" ht="15.75" customHeight="1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1" t="n"/>
      <c r="X793" s="61" t="n"/>
      <c r="Y793" s="61" t="n"/>
      <c r="Z793" s="61" t="n"/>
      <c r="AA793" s="61" t="n"/>
      <c r="AB793" s="61" t="n"/>
      <c r="AC793" s="61" t="n"/>
      <c r="AD793" s="61" t="n"/>
      <c r="AE793" s="61" t="n"/>
      <c r="AF793" s="61" t="n"/>
      <c r="AG793" s="61" t="n"/>
      <c r="AH793" s="61" t="n"/>
    </row>
    <row r="794" ht="15.75" customHeight="1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1" t="n"/>
      <c r="X794" s="61" t="n"/>
      <c r="Y794" s="61" t="n"/>
      <c r="Z794" s="61" t="n"/>
      <c r="AA794" s="61" t="n"/>
      <c r="AB794" s="61" t="n"/>
      <c r="AC794" s="61" t="n"/>
      <c r="AD794" s="61" t="n"/>
      <c r="AE794" s="61" t="n"/>
      <c r="AF794" s="61" t="n"/>
      <c r="AG794" s="61" t="n"/>
      <c r="AH794" s="61" t="n"/>
    </row>
    <row r="795" ht="15.75" customHeight="1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1" t="n"/>
      <c r="X795" s="61" t="n"/>
      <c r="Y795" s="61" t="n"/>
      <c r="Z795" s="61" t="n"/>
      <c r="AA795" s="61" t="n"/>
      <c r="AB795" s="61" t="n"/>
      <c r="AC795" s="61" t="n"/>
      <c r="AD795" s="61" t="n"/>
      <c r="AE795" s="61" t="n"/>
      <c r="AF795" s="61" t="n"/>
      <c r="AG795" s="61" t="n"/>
      <c r="AH795" s="61" t="n"/>
    </row>
    <row r="796" ht="15.75" customHeight="1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1" t="n"/>
      <c r="X796" s="61" t="n"/>
      <c r="Y796" s="61" t="n"/>
      <c r="Z796" s="61" t="n"/>
      <c r="AA796" s="61" t="n"/>
      <c r="AB796" s="61" t="n"/>
      <c r="AC796" s="61" t="n"/>
      <c r="AD796" s="61" t="n"/>
      <c r="AE796" s="61" t="n"/>
      <c r="AF796" s="61" t="n"/>
      <c r="AG796" s="61" t="n"/>
      <c r="AH796" s="61" t="n"/>
    </row>
    <row r="797" ht="15.75" customHeight="1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1" t="n"/>
      <c r="X797" s="61" t="n"/>
      <c r="Y797" s="61" t="n"/>
      <c r="Z797" s="61" t="n"/>
      <c r="AA797" s="61" t="n"/>
      <c r="AB797" s="61" t="n"/>
      <c r="AC797" s="61" t="n"/>
      <c r="AD797" s="61" t="n"/>
      <c r="AE797" s="61" t="n"/>
      <c r="AF797" s="61" t="n"/>
      <c r="AG797" s="61" t="n"/>
      <c r="AH797" s="61" t="n"/>
    </row>
    <row r="798" ht="15.75" customHeight="1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1" t="n"/>
      <c r="X798" s="61" t="n"/>
      <c r="Y798" s="61" t="n"/>
      <c r="Z798" s="61" t="n"/>
      <c r="AA798" s="61" t="n"/>
      <c r="AB798" s="61" t="n"/>
      <c r="AC798" s="61" t="n"/>
      <c r="AD798" s="61" t="n"/>
      <c r="AE798" s="61" t="n"/>
      <c r="AF798" s="61" t="n"/>
      <c r="AG798" s="61" t="n"/>
      <c r="AH798" s="61" t="n"/>
    </row>
    <row r="799" ht="15.75" customHeight="1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1" t="n"/>
      <c r="X799" s="61" t="n"/>
      <c r="Y799" s="61" t="n"/>
      <c r="Z799" s="61" t="n"/>
      <c r="AA799" s="61" t="n"/>
      <c r="AB799" s="61" t="n"/>
      <c r="AC799" s="61" t="n"/>
      <c r="AD799" s="61" t="n"/>
      <c r="AE799" s="61" t="n"/>
      <c r="AF799" s="61" t="n"/>
      <c r="AG799" s="61" t="n"/>
      <c r="AH799" s="61" t="n"/>
    </row>
    <row r="800" ht="15.75" customHeight="1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1" t="n"/>
      <c r="X800" s="61" t="n"/>
      <c r="Y800" s="61" t="n"/>
      <c r="Z800" s="61" t="n"/>
      <c r="AA800" s="61" t="n"/>
      <c r="AB800" s="61" t="n"/>
      <c r="AC800" s="61" t="n"/>
      <c r="AD800" s="61" t="n"/>
      <c r="AE800" s="61" t="n"/>
      <c r="AF800" s="61" t="n"/>
      <c r="AG800" s="61" t="n"/>
      <c r="AH800" s="61" t="n"/>
    </row>
    <row r="801" ht="15.75" customHeight="1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1" t="n"/>
      <c r="X801" s="61" t="n"/>
      <c r="Y801" s="61" t="n"/>
      <c r="Z801" s="61" t="n"/>
      <c r="AA801" s="61" t="n"/>
      <c r="AB801" s="61" t="n"/>
      <c r="AC801" s="61" t="n"/>
      <c r="AD801" s="61" t="n"/>
      <c r="AE801" s="61" t="n"/>
      <c r="AF801" s="61" t="n"/>
      <c r="AG801" s="61" t="n"/>
      <c r="AH801" s="61" t="n"/>
    </row>
    <row r="802" ht="15.75" customHeight="1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1" t="n"/>
      <c r="X802" s="61" t="n"/>
      <c r="Y802" s="61" t="n"/>
      <c r="Z802" s="61" t="n"/>
      <c r="AA802" s="61" t="n"/>
      <c r="AB802" s="61" t="n"/>
      <c r="AC802" s="61" t="n"/>
      <c r="AD802" s="61" t="n"/>
      <c r="AE802" s="61" t="n"/>
      <c r="AF802" s="61" t="n"/>
      <c r="AG802" s="61" t="n"/>
      <c r="AH802" s="61" t="n"/>
    </row>
    <row r="803" ht="15.75" customHeight="1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1" t="n"/>
      <c r="X803" s="61" t="n"/>
      <c r="Y803" s="61" t="n"/>
      <c r="Z803" s="61" t="n"/>
      <c r="AA803" s="61" t="n"/>
      <c r="AB803" s="61" t="n"/>
      <c r="AC803" s="61" t="n"/>
      <c r="AD803" s="61" t="n"/>
      <c r="AE803" s="61" t="n"/>
      <c r="AF803" s="61" t="n"/>
      <c r="AG803" s="61" t="n"/>
      <c r="AH803" s="61" t="n"/>
    </row>
    <row r="804" ht="15.75" customHeight="1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1" t="n"/>
      <c r="X804" s="61" t="n"/>
      <c r="Y804" s="61" t="n"/>
      <c r="Z804" s="61" t="n"/>
      <c r="AA804" s="61" t="n"/>
      <c r="AB804" s="61" t="n"/>
      <c r="AC804" s="61" t="n"/>
      <c r="AD804" s="61" t="n"/>
      <c r="AE804" s="61" t="n"/>
      <c r="AF804" s="61" t="n"/>
      <c r="AG804" s="61" t="n"/>
      <c r="AH804" s="61" t="n"/>
    </row>
    <row r="805" ht="15.75" customHeight="1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1" t="n"/>
      <c r="X805" s="61" t="n"/>
      <c r="Y805" s="61" t="n"/>
      <c r="Z805" s="61" t="n"/>
      <c r="AA805" s="61" t="n"/>
      <c r="AB805" s="61" t="n"/>
      <c r="AC805" s="61" t="n"/>
      <c r="AD805" s="61" t="n"/>
      <c r="AE805" s="61" t="n"/>
      <c r="AF805" s="61" t="n"/>
      <c r="AG805" s="61" t="n"/>
      <c r="AH805" s="61" t="n"/>
    </row>
    <row r="806" ht="15.75" customHeight="1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1" t="n"/>
      <c r="X806" s="61" t="n"/>
      <c r="Y806" s="61" t="n"/>
      <c r="Z806" s="61" t="n"/>
      <c r="AA806" s="61" t="n"/>
      <c r="AB806" s="61" t="n"/>
      <c r="AC806" s="61" t="n"/>
      <c r="AD806" s="61" t="n"/>
      <c r="AE806" s="61" t="n"/>
      <c r="AF806" s="61" t="n"/>
      <c r="AG806" s="61" t="n"/>
      <c r="AH806" s="61" t="n"/>
    </row>
    <row r="807" ht="15.75" customHeight="1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1" t="n"/>
      <c r="X807" s="61" t="n"/>
      <c r="Y807" s="61" t="n"/>
      <c r="Z807" s="61" t="n"/>
      <c r="AA807" s="61" t="n"/>
      <c r="AB807" s="61" t="n"/>
      <c r="AC807" s="61" t="n"/>
      <c r="AD807" s="61" t="n"/>
      <c r="AE807" s="61" t="n"/>
      <c r="AF807" s="61" t="n"/>
      <c r="AG807" s="61" t="n"/>
      <c r="AH807" s="61" t="n"/>
    </row>
    <row r="808" ht="15.75" customHeight="1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1" t="n"/>
      <c r="X808" s="61" t="n"/>
      <c r="Y808" s="61" t="n"/>
      <c r="Z808" s="61" t="n"/>
      <c r="AA808" s="61" t="n"/>
      <c r="AB808" s="61" t="n"/>
      <c r="AC808" s="61" t="n"/>
      <c r="AD808" s="61" t="n"/>
      <c r="AE808" s="61" t="n"/>
      <c r="AF808" s="61" t="n"/>
      <c r="AG808" s="61" t="n"/>
      <c r="AH808" s="61" t="n"/>
    </row>
    <row r="809" ht="15.75" customHeight="1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1" t="n"/>
      <c r="X809" s="61" t="n"/>
      <c r="Y809" s="61" t="n"/>
      <c r="Z809" s="61" t="n"/>
      <c r="AA809" s="61" t="n"/>
      <c r="AB809" s="61" t="n"/>
      <c r="AC809" s="61" t="n"/>
      <c r="AD809" s="61" t="n"/>
      <c r="AE809" s="61" t="n"/>
      <c r="AF809" s="61" t="n"/>
      <c r="AG809" s="61" t="n"/>
      <c r="AH809" s="61" t="n"/>
    </row>
    <row r="810" ht="15.75" customHeight="1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1" t="n"/>
      <c r="X810" s="61" t="n"/>
      <c r="Y810" s="61" t="n"/>
      <c r="Z810" s="61" t="n"/>
      <c r="AA810" s="61" t="n"/>
      <c r="AB810" s="61" t="n"/>
      <c r="AC810" s="61" t="n"/>
      <c r="AD810" s="61" t="n"/>
      <c r="AE810" s="61" t="n"/>
      <c r="AF810" s="61" t="n"/>
      <c r="AG810" s="61" t="n"/>
      <c r="AH810" s="61" t="n"/>
    </row>
    <row r="811" ht="15.75" customHeight="1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1" t="n"/>
      <c r="X811" s="61" t="n"/>
      <c r="Y811" s="61" t="n"/>
      <c r="Z811" s="61" t="n"/>
      <c r="AA811" s="61" t="n"/>
      <c r="AB811" s="61" t="n"/>
      <c r="AC811" s="61" t="n"/>
      <c r="AD811" s="61" t="n"/>
      <c r="AE811" s="61" t="n"/>
      <c r="AF811" s="61" t="n"/>
      <c r="AG811" s="61" t="n"/>
      <c r="AH811" s="61" t="n"/>
    </row>
    <row r="812" ht="15.75" customHeight="1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1" t="n"/>
      <c r="X812" s="61" t="n"/>
      <c r="Y812" s="61" t="n"/>
      <c r="Z812" s="61" t="n"/>
      <c r="AA812" s="61" t="n"/>
      <c r="AB812" s="61" t="n"/>
      <c r="AC812" s="61" t="n"/>
      <c r="AD812" s="61" t="n"/>
      <c r="AE812" s="61" t="n"/>
      <c r="AF812" s="61" t="n"/>
      <c r="AG812" s="61" t="n"/>
      <c r="AH812" s="61" t="n"/>
    </row>
    <row r="813" ht="15.75" customHeight="1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1" t="n"/>
      <c r="X813" s="61" t="n"/>
      <c r="Y813" s="61" t="n"/>
      <c r="Z813" s="61" t="n"/>
      <c r="AA813" s="61" t="n"/>
      <c r="AB813" s="61" t="n"/>
      <c r="AC813" s="61" t="n"/>
      <c r="AD813" s="61" t="n"/>
      <c r="AE813" s="61" t="n"/>
      <c r="AF813" s="61" t="n"/>
      <c r="AG813" s="61" t="n"/>
      <c r="AH813" s="61" t="n"/>
    </row>
    <row r="814" ht="15.75" customHeight="1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1" t="n"/>
      <c r="X814" s="61" t="n"/>
      <c r="Y814" s="61" t="n"/>
      <c r="Z814" s="61" t="n"/>
      <c r="AA814" s="61" t="n"/>
      <c r="AB814" s="61" t="n"/>
      <c r="AC814" s="61" t="n"/>
      <c r="AD814" s="61" t="n"/>
      <c r="AE814" s="61" t="n"/>
      <c r="AF814" s="61" t="n"/>
      <c r="AG814" s="61" t="n"/>
      <c r="AH814" s="61" t="n"/>
    </row>
    <row r="815" ht="15.75" customHeight="1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1" t="n"/>
      <c r="X815" s="61" t="n"/>
      <c r="Y815" s="61" t="n"/>
      <c r="Z815" s="61" t="n"/>
      <c r="AA815" s="61" t="n"/>
      <c r="AB815" s="61" t="n"/>
      <c r="AC815" s="61" t="n"/>
      <c r="AD815" s="61" t="n"/>
      <c r="AE815" s="61" t="n"/>
      <c r="AF815" s="61" t="n"/>
      <c r="AG815" s="61" t="n"/>
      <c r="AH815" s="61" t="n"/>
    </row>
    <row r="816" ht="15.75" customHeight="1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1" t="n"/>
      <c r="X816" s="61" t="n"/>
      <c r="Y816" s="61" t="n"/>
      <c r="Z816" s="61" t="n"/>
      <c r="AA816" s="61" t="n"/>
      <c r="AB816" s="61" t="n"/>
      <c r="AC816" s="61" t="n"/>
      <c r="AD816" s="61" t="n"/>
      <c r="AE816" s="61" t="n"/>
      <c r="AF816" s="61" t="n"/>
      <c r="AG816" s="61" t="n"/>
      <c r="AH816" s="61" t="n"/>
    </row>
    <row r="817" ht="15.75" customHeight="1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1" t="n"/>
      <c r="X817" s="61" t="n"/>
      <c r="Y817" s="61" t="n"/>
      <c r="Z817" s="61" t="n"/>
      <c r="AA817" s="61" t="n"/>
      <c r="AB817" s="61" t="n"/>
      <c r="AC817" s="61" t="n"/>
      <c r="AD817" s="61" t="n"/>
      <c r="AE817" s="61" t="n"/>
      <c r="AF817" s="61" t="n"/>
      <c r="AG817" s="61" t="n"/>
      <c r="AH817" s="61" t="n"/>
    </row>
    <row r="818" ht="15.75" customHeight="1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1" t="n"/>
      <c r="X818" s="61" t="n"/>
      <c r="Y818" s="61" t="n"/>
      <c r="Z818" s="61" t="n"/>
      <c r="AA818" s="61" t="n"/>
      <c r="AB818" s="61" t="n"/>
      <c r="AC818" s="61" t="n"/>
      <c r="AD818" s="61" t="n"/>
      <c r="AE818" s="61" t="n"/>
      <c r="AF818" s="61" t="n"/>
      <c r="AG818" s="61" t="n"/>
      <c r="AH818" s="61" t="n"/>
    </row>
    <row r="819" ht="15.75" customHeight="1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1" t="n"/>
      <c r="X819" s="61" t="n"/>
      <c r="Y819" s="61" t="n"/>
      <c r="Z819" s="61" t="n"/>
      <c r="AA819" s="61" t="n"/>
      <c r="AB819" s="61" t="n"/>
      <c r="AC819" s="61" t="n"/>
      <c r="AD819" s="61" t="n"/>
      <c r="AE819" s="61" t="n"/>
      <c r="AF819" s="61" t="n"/>
      <c r="AG819" s="61" t="n"/>
      <c r="AH819" s="61" t="n"/>
    </row>
    <row r="820" ht="15.75" customHeight="1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1" t="n"/>
      <c r="X820" s="61" t="n"/>
      <c r="Y820" s="61" t="n"/>
      <c r="Z820" s="61" t="n"/>
      <c r="AA820" s="61" t="n"/>
      <c r="AB820" s="61" t="n"/>
      <c r="AC820" s="61" t="n"/>
      <c r="AD820" s="61" t="n"/>
      <c r="AE820" s="61" t="n"/>
      <c r="AF820" s="61" t="n"/>
      <c r="AG820" s="61" t="n"/>
      <c r="AH820" s="61" t="n"/>
    </row>
    <row r="821" ht="15.75" customHeight="1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1" t="n"/>
      <c r="X821" s="61" t="n"/>
      <c r="Y821" s="61" t="n"/>
      <c r="Z821" s="61" t="n"/>
      <c r="AA821" s="61" t="n"/>
      <c r="AB821" s="61" t="n"/>
      <c r="AC821" s="61" t="n"/>
      <c r="AD821" s="61" t="n"/>
      <c r="AE821" s="61" t="n"/>
      <c r="AF821" s="61" t="n"/>
      <c r="AG821" s="61" t="n"/>
      <c r="AH821" s="61" t="n"/>
    </row>
    <row r="822" ht="15.75" customHeight="1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1" t="n"/>
      <c r="X822" s="61" t="n"/>
      <c r="Y822" s="61" t="n"/>
      <c r="Z822" s="61" t="n"/>
      <c r="AA822" s="61" t="n"/>
      <c r="AB822" s="61" t="n"/>
      <c r="AC822" s="61" t="n"/>
      <c r="AD822" s="61" t="n"/>
      <c r="AE822" s="61" t="n"/>
      <c r="AF822" s="61" t="n"/>
      <c r="AG822" s="61" t="n"/>
      <c r="AH822" s="61" t="n"/>
    </row>
    <row r="823" ht="15.75" customHeight="1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1" t="n"/>
      <c r="X823" s="61" t="n"/>
      <c r="Y823" s="61" t="n"/>
      <c r="Z823" s="61" t="n"/>
      <c r="AA823" s="61" t="n"/>
      <c r="AB823" s="61" t="n"/>
      <c r="AC823" s="61" t="n"/>
      <c r="AD823" s="61" t="n"/>
      <c r="AE823" s="61" t="n"/>
      <c r="AF823" s="61" t="n"/>
      <c r="AG823" s="61" t="n"/>
      <c r="AH823" s="61" t="n"/>
    </row>
    <row r="824" ht="15.75" customHeight="1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1" t="n"/>
      <c r="X824" s="61" t="n"/>
      <c r="Y824" s="61" t="n"/>
      <c r="Z824" s="61" t="n"/>
      <c r="AA824" s="61" t="n"/>
      <c r="AB824" s="61" t="n"/>
      <c r="AC824" s="61" t="n"/>
      <c r="AD824" s="61" t="n"/>
      <c r="AE824" s="61" t="n"/>
      <c r="AF824" s="61" t="n"/>
      <c r="AG824" s="61" t="n"/>
      <c r="AH824" s="61" t="n"/>
    </row>
    <row r="825" ht="15.75" customHeight="1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1" t="n"/>
      <c r="X825" s="61" t="n"/>
      <c r="Y825" s="61" t="n"/>
      <c r="Z825" s="61" t="n"/>
      <c r="AA825" s="61" t="n"/>
      <c r="AB825" s="61" t="n"/>
      <c r="AC825" s="61" t="n"/>
      <c r="AD825" s="61" t="n"/>
      <c r="AE825" s="61" t="n"/>
      <c r="AF825" s="61" t="n"/>
      <c r="AG825" s="61" t="n"/>
      <c r="AH825" s="61" t="n"/>
    </row>
    <row r="826" ht="15.75" customHeight="1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1" t="n"/>
      <c r="X826" s="61" t="n"/>
      <c r="Y826" s="61" t="n"/>
      <c r="Z826" s="61" t="n"/>
      <c r="AA826" s="61" t="n"/>
      <c r="AB826" s="61" t="n"/>
      <c r="AC826" s="61" t="n"/>
      <c r="AD826" s="61" t="n"/>
      <c r="AE826" s="61" t="n"/>
      <c r="AF826" s="61" t="n"/>
      <c r="AG826" s="61" t="n"/>
      <c r="AH826" s="61" t="n"/>
    </row>
    <row r="827" ht="15.75" customHeight="1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1" t="n"/>
      <c r="X827" s="61" t="n"/>
      <c r="Y827" s="61" t="n"/>
      <c r="Z827" s="61" t="n"/>
      <c r="AA827" s="61" t="n"/>
      <c r="AB827" s="61" t="n"/>
      <c r="AC827" s="61" t="n"/>
      <c r="AD827" s="61" t="n"/>
      <c r="AE827" s="61" t="n"/>
      <c r="AF827" s="61" t="n"/>
      <c r="AG827" s="61" t="n"/>
      <c r="AH827" s="61" t="n"/>
    </row>
    <row r="828" ht="15.75" customHeight="1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1" t="n"/>
      <c r="X828" s="61" t="n"/>
      <c r="Y828" s="61" t="n"/>
      <c r="Z828" s="61" t="n"/>
      <c r="AA828" s="61" t="n"/>
      <c r="AB828" s="61" t="n"/>
      <c r="AC828" s="61" t="n"/>
      <c r="AD828" s="61" t="n"/>
      <c r="AE828" s="61" t="n"/>
      <c r="AF828" s="61" t="n"/>
      <c r="AG828" s="61" t="n"/>
      <c r="AH828" s="61" t="n"/>
    </row>
    <row r="829" ht="15.75" customHeight="1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1" t="n"/>
      <c r="X829" s="61" t="n"/>
      <c r="Y829" s="61" t="n"/>
      <c r="Z829" s="61" t="n"/>
      <c r="AA829" s="61" t="n"/>
      <c r="AB829" s="61" t="n"/>
      <c r="AC829" s="61" t="n"/>
      <c r="AD829" s="61" t="n"/>
      <c r="AE829" s="61" t="n"/>
      <c r="AF829" s="61" t="n"/>
      <c r="AG829" s="61" t="n"/>
      <c r="AH829" s="61" t="n"/>
    </row>
    <row r="830" ht="15.75" customHeight="1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1" t="n"/>
      <c r="X830" s="61" t="n"/>
      <c r="Y830" s="61" t="n"/>
      <c r="Z830" s="61" t="n"/>
      <c r="AA830" s="61" t="n"/>
      <c r="AB830" s="61" t="n"/>
      <c r="AC830" s="61" t="n"/>
      <c r="AD830" s="61" t="n"/>
      <c r="AE830" s="61" t="n"/>
      <c r="AF830" s="61" t="n"/>
      <c r="AG830" s="61" t="n"/>
      <c r="AH830" s="61" t="n"/>
    </row>
    <row r="831" ht="15.75" customHeight="1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1" t="n"/>
      <c r="X831" s="61" t="n"/>
      <c r="Y831" s="61" t="n"/>
      <c r="Z831" s="61" t="n"/>
      <c r="AA831" s="61" t="n"/>
      <c r="AB831" s="61" t="n"/>
      <c r="AC831" s="61" t="n"/>
      <c r="AD831" s="61" t="n"/>
      <c r="AE831" s="61" t="n"/>
      <c r="AF831" s="61" t="n"/>
      <c r="AG831" s="61" t="n"/>
      <c r="AH831" s="61" t="n"/>
    </row>
    <row r="832" ht="15.75" customHeight="1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1" t="n"/>
      <c r="X832" s="61" t="n"/>
      <c r="Y832" s="61" t="n"/>
      <c r="Z832" s="61" t="n"/>
      <c r="AA832" s="61" t="n"/>
      <c r="AB832" s="61" t="n"/>
      <c r="AC832" s="61" t="n"/>
      <c r="AD832" s="61" t="n"/>
      <c r="AE832" s="61" t="n"/>
      <c r="AF832" s="61" t="n"/>
      <c r="AG832" s="61" t="n"/>
      <c r="AH832" s="61" t="n"/>
    </row>
    <row r="833" ht="15.75" customHeight="1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1" t="n"/>
      <c r="X833" s="61" t="n"/>
      <c r="Y833" s="61" t="n"/>
      <c r="Z833" s="61" t="n"/>
      <c r="AA833" s="61" t="n"/>
      <c r="AB833" s="61" t="n"/>
      <c r="AC833" s="61" t="n"/>
      <c r="AD833" s="61" t="n"/>
      <c r="AE833" s="61" t="n"/>
      <c r="AF833" s="61" t="n"/>
      <c r="AG833" s="61" t="n"/>
      <c r="AH833" s="61" t="n"/>
    </row>
    <row r="834" ht="15.75" customHeight="1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1" t="n"/>
      <c r="X834" s="61" t="n"/>
      <c r="Y834" s="61" t="n"/>
      <c r="Z834" s="61" t="n"/>
      <c r="AA834" s="61" t="n"/>
      <c r="AB834" s="61" t="n"/>
      <c r="AC834" s="61" t="n"/>
      <c r="AD834" s="61" t="n"/>
      <c r="AE834" s="61" t="n"/>
      <c r="AF834" s="61" t="n"/>
      <c r="AG834" s="61" t="n"/>
      <c r="AH834" s="61" t="n"/>
    </row>
    <row r="835" ht="15.75" customHeight="1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1" t="n"/>
      <c r="X835" s="61" t="n"/>
      <c r="Y835" s="61" t="n"/>
      <c r="Z835" s="61" t="n"/>
      <c r="AA835" s="61" t="n"/>
      <c r="AB835" s="61" t="n"/>
      <c r="AC835" s="61" t="n"/>
      <c r="AD835" s="61" t="n"/>
      <c r="AE835" s="61" t="n"/>
      <c r="AF835" s="61" t="n"/>
      <c r="AG835" s="61" t="n"/>
      <c r="AH835" s="61" t="n"/>
    </row>
    <row r="836" ht="15.75" customHeight="1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1" t="n"/>
      <c r="X836" s="61" t="n"/>
      <c r="Y836" s="61" t="n"/>
      <c r="Z836" s="61" t="n"/>
      <c r="AA836" s="61" t="n"/>
      <c r="AB836" s="61" t="n"/>
      <c r="AC836" s="61" t="n"/>
      <c r="AD836" s="61" t="n"/>
      <c r="AE836" s="61" t="n"/>
      <c r="AF836" s="61" t="n"/>
      <c r="AG836" s="61" t="n"/>
      <c r="AH836" s="61" t="n"/>
    </row>
    <row r="837" ht="15.75" customHeight="1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1" t="n"/>
      <c r="X837" s="61" t="n"/>
      <c r="Y837" s="61" t="n"/>
      <c r="Z837" s="61" t="n"/>
      <c r="AA837" s="61" t="n"/>
      <c r="AB837" s="61" t="n"/>
      <c r="AC837" s="61" t="n"/>
      <c r="AD837" s="61" t="n"/>
      <c r="AE837" s="61" t="n"/>
      <c r="AF837" s="61" t="n"/>
      <c r="AG837" s="61" t="n"/>
      <c r="AH837" s="61" t="n"/>
    </row>
    <row r="838" ht="15.75" customHeight="1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1" t="n"/>
      <c r="X838" s="61" t="n"/>
      <c r="Y838" s="61" t="n"/>
      <c r="Z838" s="61" t="n"/>
      <c r="AA838" s="61" t="n"/>
      <c r="AB838" s="61" t="n"/>
      <c r="AC838" s="61" t="n"/>
      <c r="AD838" s="61" t="n"/>
      <c r="AE838" s="61" t="n"/>
      <c r="AF838" s="61" t="n"/>
      <c r="AG838" s="61" t="n"/>
      <c r="AH838" s="61" t="n"/>
    </row>
    <row r="839" ht="15.75" customHeight="1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1" t="n"/>
      <c r="X839" s="61" t="n"/>
      <c r="Y839" s="61" t="n"/>
      <c r="Z839" s="61" t="n"/>
      <c r="AA839" s="61" t="n"/>
      <c r="AB839" s="61" t="n"/>
      <c r="AC839" s="61" t="n"/>
      <c r="AD839" s="61" t="n"/>
      <c r="AE839" s="61" t="n"/>
      <c r="AF839" s="61" t="n"/>
      <c r="AG839" s="61" t="n"/>
      <c r="AH839" s="61" t="n"/>
    </row>
    <row r="840" ht="15.75" customHeight="1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1" t="n"/>
      <c r="X840" s="61" t="n"/>
      <c r="Y840" s="61" t="n"/>
      <c r="Z840" s="61" t="n"/>
      <c r="AA840" s="61" t="n"/>
      <c r="AB840" s="61" t="n"/>
      <c r="AC840" s="61" t="n"/>
      <c r="AD840" s="61" t="n"/>
      <c r="AE840" s="61" t="n"/>
      <c r="AF840" s="61" t="n"/>
      <c r="AG840" s="61" t="n"/>
      <c r="AH840" s="61" t="n"/>
    </row>
    <row r="841" ht="15.75" customHeight="1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1" t="n"/>
      <c r="X841" s="61" t="n"/>
      <c r="Y841" s="61" t="n"/>
      <c r="Z841" s="61" t="n"/>
      <c r="AA841" s="61" t="n"/>
      <c r="AB841" s="61" t="n"/>
      <c r="AC841" s="61" t="n"/>
      <c r="AD841" s="61" t="n"/>
      <c r="AE841" s="61" t="n"/>
      <c r="AF841" s="61" t="n"/>
      <c r="AG841" s="61" t="n"/>
      <c r="AH841" s="61" t="n"/>
    </row>
    <row r="842" ht="15.75" customHeight="1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1" t="n"/>
      <c r="X842" s="61" t="n"/>
      <c r="Y842" s="61" t="n"/>
      <c r="Z842" s="61" t="n"/>
      <c r="AA842" s="61" t="n"/>
      <c r="AB842" s="61" t="n"/>
      <c r="AC842" s="61" t="n"/>
      <c r="AD842" s="61" t="n"/>
      <c r="AE842" s="61" t="n"/>
      <c r="AF842" s="61" t="n"/>
      <c r="AG842" s="61" t="n"/>
      <c r="AH842" s="61" t="n"/>
    </row>
    <row r="843" ht="15.75" customHeight="1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1" t="n"/>
      <c r="X843" s="61" t="n"/>
      <c r="Y843" s="61" t="n"/>
      <c r="Z843" s="61" t="n"/>
      <c r="AA843" s="61" t="n"/>
      <c r="AB843" s="61" t="n"/>
      <c r="AC843" s="61" t="n"/>
      <c r="AD843" s="61" t="n"/>
      <c r="AE843" s="61" t="n"/>
      <c r="AF843" s="61" t="n"/>
      <c r="AG843" s="61" t="n"/>
      <c r="AH843" s="61" t="n"/>
    </row>
    <row r="844" ht="15.75" customHeight="1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1" t="n"/>
      <c r="X844" s="61" t="n"/>
      <c r="Y844" s="61" t="n"/>
      <c r="Z844" s="61" t="n"/>
      <c r="AA844" s="61" t="n"/>
      <c r="AB844" s="61" t="n"/>
      <c r="AC844" s="61" t="n"/>
      <c r="AD844" s="61" t="n"/>
      <c r="AE844" s="61" t="n"/>
      <c r="AF844" s="61" t="n"/>
      <c r="AG844" s="61" t="n"/>
      <c r="AH844" s="61" t="n"/>
    </row>
    <row r="845" ht="15.75" customHeight="1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1" t="n"/>
      <c r="X845" s="61" t="n"/>
      <c r="Y845" s="61" t="n"/>
      <c r="Z845" s="61" t="n"/>
      <c r="AA845" s="61" t="n"/>
      <c r="AB845" s="61" t="n"/>
      <c r="AC845" s="61" t="n"/>
      <c r="AD845" s="61" t="n"/>
      <c r="AE845" s="61" t="n"/>
      <c r="AF845" s="61" t="n"/>
      <c r="AG845" s="61" t="n"/>
      <c r="AH845" s="61" t="n"/>
    </row>
    <row r="846" ht="15.75" customHeight="1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1" t="n"/>
      <c r="X846" s="61" t="n"/>
      <c r="Y846" s="61" t="n"/>
      <c r="Z846" s="61" t="n"/>
      <c r="AA846" s="61" t="n"/>
      <c r="AB846" s="61" t="n"/>
      <c r="AC846" s="61" t="n"/>
      <c r="AD846" s="61" t="n"/>
      <c r="AE846" s="61" t="n"/>
      <c r="AF846" s="61" t="n"/>
      <c r="AG846" s="61" t="n"/>
      <c r="AH846" s="61" t="n"/>
    </row>
    <row r="847" ht="15.75" customHeight="1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1" t="n"/>
      <c r="X847" s="61" t="n"/>
      <c r="Y847" s="61" t="n"/>
      <c r="Z847" s="61" t="n"/>
      <c r="AA847" s="61" t="n"/>
      <c r="AB847" s="61" t="n"/>
      <c r="AC847" s="61" t="n"/>
      <c r="AD847" s="61" t="n"/>
      <c r="AE847" s="61" t="n"/>
      <c r="AF847" s="61" t="n"/>
      <c r="AG847" s="61" t="n"/>
      <c r="AH847" s="61" t="n"/>
    </row>
    <row r="848" ht="15.75" customHeight="1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1" t="n"/>
      <c r="X848" s="61" t="n"/>
      <c r="Y848" s="61" t="n"/>
      <c r="Z848" s="61" t="n"/>
      <c r="AA848" s="61" t="n"/>
      <c r="AB848" s="61" t="n"/>
      <c r="AC848" s="61" t="n"/>
      <c r="AD848" s="61" t="n"/>
      <c r="AE848" s="61" t="n"/>
      <c r="AF848" s="61" t="n"/>
      <c r="AG848" s="61" t="n"/>
      <c r="AH848" s="61" t="n"/>
    </row>
    <row r="849" ht="15.75" customHeight="1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1" t="n"/>
      <c r="X849" s="61" t="n"/>
      <c r="Y849" s="61" t="n"/>
      <c r="Z849" s="61" t="n"/>
      <c r="AA849" s="61" t="n"/>
      <c r="AB849" s="61" t="n"/>
      <c r="AC849" s="61" t="n"/>
      <c r="AD849" s="61" t="n"/>
      <c r="AE849" s="61" t="n"/>
      <c r="AF849" s="61" t="n"/>
      <c r="AG849" s="61" t="n"/>
      <c r="AH849" s="61" t="n"/>
    </row>
    <row r="850" ht="15.75" customHeight="1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1" t="n"/>
      <c r="X850" s="61" t="n"/>
      <c r="Y850" s="61" t="n"/>
      <c r="Z850" s="61" t="n"/>
      <c r="AA850" s="61" t="n"/>
      <c r="AB850" s="61" t="n"/>
      <c r="AC850" s="61" t="n"/>
      <c r="AD850" s="61" t="n"/>
      <c r="AE850" s="61" t="n"/>
      <c r="AF850" s="61" t="n"/>
      <c r="AG850" s="61" t="n"/>
      <c r="AH850" s="61" t="n"/>
    </row>
    <row r="851" ht="15.75" customHeight="1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1" t="n"/>
      <c r="X851" s="61" t="n"/>
      <c r="Y851" s="61" t="n"/>
      <c r="Z851" s="61" t="n"/>
      <c r="AA851" s="61" t="n"/>
      <c r="AB851" s="61" t="n"/>
      <c r="AC851" s="61" t="n"/>
      <c r="AD851" s="61" t="n"/>
      <c r="AE851" s="61" t="n"/>
      <c r="AF851" s="61" t="n"/>
      <c r="AG851" s="61" t="n"/>
      <c r="AH851" s="61" t="n"/>
    </row>
    <row r="852" ht="15.75" customHeight="1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1" t="n"/>
      <c r="X852" s="61" t="n"/>
      <c r="Y852" s="61" t="n"/>
      <c r="Z852" s="61" t="n"/>
      <c r="AA852" s="61" t="n"/>
      <c r="AB852" s="61" t="n"/>
      <c r="AC852" s="61" t="n"/>
      <c r="AD852" s="61" t="n"/>
      <c r="AE852" s="61" t="n"/>
      <c r="AF852" s="61" t="n"/>
      <c r="AG852" s="61" t="n"/>
      <c r="AH852" s="61" t="n"/>
    </row>
    <row r="853" ht="15.75" customHeight="1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1" t="n"/>
      <c r="X853" s="61" t="n"/>
      <c r="Y853" s="61" t="n"/>
      <c r="Z853" s="61" t="n"/>
      <c r="AA853" s="61" t="n"/>
      <c r="AB853" s="61" t="n"/>
      <c r="AC853" s="61" t="n"/>
      <c r="AD853" s="61" t="n"/>
      <c r="AE853" s="61" t="n"/>
      <c r="AF853" s="61" t="n"/>
      <c r="AG853" s="61" t="n"/>
      <c r="AH853" s="61" t="n"/>
    </row>
    <row r="854" ht="15.75" customHeight="1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1" t="n"/>
      <c r="X854" s="61" t="n"/>
      <c r="Y854" s="61" t="n"/>
      <c r="Z854" s="61" t="n"/>
      <c r="AA854" s="61" t="n"/>
      <c r="AB854" s="61" t="n"/>
      <c r="AC854" s="61" t="n"/>
      <c r="AD854" s="61" t="n"/>
      <c r="AE854" s="61" t="n"/>
      <c r="AF854" s="61" t="n"/>
      <c r="AG854" s="61" t="n"/>
      <c r="AH854" s="61" t="n"/>
    </row>
    <row r="855" ht="15.75" customHeight="1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1" t="n"/>
      <c r="X855" s="61" t="n"/>
      <c r="Y855" s="61" t="n"/>
      <c r="Z855" s="61" t="n"/>
      <c r="AA855" s="61" t="n"/>
      <c r="AB855" s="61" t="n"/>
      <c r="AC855" s="61" t="n"/>
      <c r="AD855" s="61" t="n"/>
      <c r="AE855" s="61" t="n"/>
      <c r="AF855" s="61" t="n"/>
      <c r="AG855" s="61" t="n"/>
      <c r="AH855" s="61" t="n"/>
    </row>
    <row r="856" ht="15.75" customHeight="1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1" t="n"/>
      <c r="X856" s="61" t="n"/>
      <c r="Y856" s="61" t="n"/>
      <c r="Z856" s="61" t="n"/>
      <c r="AA856" s="61" t="n"/>
      <c r="AB856" s="61" t="n"/>
      <c r="AC856" s="61" t="n"/>
      <c r="AD856" s="61" t="n"/>
      <c r="AE856" s="61" t="n"/>
      <c r="AF856" s="61" t="n"/>
      <c r="AG856" s="61" t="n"/>
      <c r="AH856" s="61" t="n"/>
    </row>
    <row r="857" ht="15.75" customHeight="1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1" t="n"/>
      <c r="X857" s="61" t="n"/>
      <c r="Y857" s="61" t="n"/>
      <c r="Z857" s="61" t="n"/>
      <c r="AA857" s="61" t="n"/>
      <c r="AB857" s="61" t="n"/>
      <c r="AC857" s="61" t="n"/>
      <c r="AD857" s="61" t="n"/>
      <c r="AE857" s="61" t="n"/>
      <c r="AF857" s="61" t="n"/>
      <c r="AG857" s="61" t="n"/>
      <c r="AH857" s="61" t="n"/>
    </row>
    <row r="858" ht="15.75" customHeight="1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1" t="n"/>
      <c r="X858" s="61" t="n"/>
      <c r="Y858" s="61" t="n"/>
      <c r="Z858" s="61" t="n"/>
      <c r="AA858" s="61" t="n"/>
      <c r="AB858" s="61" t="n"/>
      <c r="AC858" s="61" t="n"/>
      <c r="AD858" s="61" t="n"/>
      <c r="AE858" s="61" t="n"/>
      <c r="AF858" s="61" t="n"/>
      <c r="AG858" s="61" t="n"/>
      <c r="AH858" s="61" t="n"/>
    </row>
    <row r="859" ht="15.75" customHeight="1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1" t="n"/>
      <c r="X859" s="61" t="n"/>
      <c r="Y859" s="61" t="n"/>
      <c r="Z859" s="61" t="n"/>
      <c r="AA859" s="61" t="n"/>
      <c r="AB859" s="61" t="n"/>
      <c r="AC859" s="61" t="n"/>
      <c r="AD859" s="61" t="n"/>
      <c r="AE859" s="61" t="n"/>
      <c r="AF859" s="61" t="n"/>
      <c r="AG859" s="61" t="n"/>
      <c r="AH859" s="61" t="n"/>
    </row>
    <row r="860" ht="15.75" customHeight="1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1" t="n"/>
      <c r="X860" s="61" t="n"/>
      <c r="Y860" s="61" t="n"/>
      <c r="Z860" s="61" t="n"/>
      <c r="AA860" s="61" t="n"/>
      <c r="AB860" s="61" t="n"/>
      <c r="AC860" s="61" t="n"/>
      <c r="AD860" s="61" t="n"/>
      <c r="AE860" s="61" t="n"/>
      <c r="AF860" s="61" t="n"/>
      <c r="AG860" s="61" t="n"/>
      <c r="AH860" s="61" t="n"/>
    </row>
    <row r="861" ht="15.75" customHeight="1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1" t="n"/>
      <c r="X861" s="61" t="n"/>
      <c r="Y861" s="61" t="n"/>
      <c r="Z861" s="61" t="n"/>
      <c r="AA861" s="61" t="n"/>
      <c r="AB861" s="61" t="n"/>
      <c r="AC861" s="61" t="n"/>
      <c r="AD861" s="61" t="n"/>
      <c r="AE861" s="61" t="n"/>
      <c r="AF861" s="61" t="n"/>
      <c r="AG861" s="61" t="n"/>
      <c r="AH861" s="61" t="n"/>
    </row>
    <row r="862" ht="15.75" customHeight="1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1" t="n"/>
      <c r="X862" s="61" t="n"/>
      <c r="Y862" s="61" t="n"/>
      <c r="Z862" s="61" t="n"/>
      <c r="AA862" s="61" t="n"/>
      <c r="AB862" s="61" t="n"/>
      <c r="AC862" s="61" t="n"/>
      <c r="AD862" s="61" t="n"/>
      <c r="AE862" s="61" t="n"/>
      <c r="AF862" s="61" t="n"/>
      <c r="AG862" s="61" t="n"/>
      <c r="AH862" s="61" t="n"/>
    </row>
    <row r="863" ht="15.75" customHeight="1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1" t="n"/>
      <c r="X863" s="61" t="n"/>
      <c r="Y863" s="61" t="n"/>
      <c r="Z863" s="61" t="n"/>
      <c r="AA863" s="61" t="n"/>
      <c r="AB863" s="61" t="n"/>
      <c r="AC863" s="61" t="n"/>
      <c r="AD863" s="61" t="n"/>
      <c r="AE863" s="61" t="n"/>
      <c r="AF863" s="61" t="n"/>
      <c r="AG863" s="61" t="n"/>
      <c r="AH863" s="61" t="n"/>
    </row>
    <row r="864" ht="15.75" customHeight="1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1" t="n"/>
      <c r="X864" s="61" t="n"/>
      <c r="Y864" s="61" t="n"/>
      <c r="Z864" s="61" t="n"/>
      <c r="AA864" s="61" t="n"/>
      <c r="AB864" s="61" t="n"/>
      <c r="AC864" s="61" t="n"/>
      <c r="AD864" s="61" t="n"/>
      <c r="AE864" s="61" t="n"/>
      <c r="AF864" s="61" t="n"/>
      <c r="AG864" s="61" t="n"/>
      <c r="AH864" s="61" t="n"/>
    </row>
    <row r="865" ht="15.75" customHeight="1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1" t="n"/>
      <c r="X865" s="61" t="n"/>
      <c r="Y865" s="61" t="n"/>
      <c r="Z865" s="61" t="n"/>
      <c r="AA865" s="61" t="n"/>
      <c r="AB865" s="61" t="n"/>
      <c r="AC865" s="61" t="n"/>
      <c r="AD865" s="61" t="n"/>
      <c r="AE865" s="61" t="n"/>
      <c r="AF865" s="61" t="n"/>
      <c r="AG865" s="61" t="n"/>
      <c r="AH865" s="61" t="n"/>
    </row>
    <row r="866" ht="15.75" customHeight="1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1" t="n"/>
      <c r="X866" s="61" t="n"/>
      <c r="Y866" s="61" t="n"/>
      <c r="Z866" s="61" t="n"/>
      <c r="AA866" s="61" t="n"/>
      <c r="AB866" s="61" t="n"/>
      <c r="AC866" s="61" t="n"/>
      <c r="AD866" s="61" t="n"/>
      <c r="AE866" s="61" t="n"/>
      <c r="AF866" s="61" t="n"/>
      <c r="AG866" s="61" t="n"/>
      <c r="AH866" s="61" t="n"/>
    </row>
    <row r="867" ht="15.75" customHeight="1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1" t="n"/>
      <c r="X867" s="61" t="n"/>
      <c r="Y867" s="61" t="n"/>
      <c r="Z867" s="61" t="n"/>
      <c r="AA867" s="61" t="n"/>
      <c r="AB867" s="61" t="n"/>
      <c r="AC867" s="61" t="n"/>
      <c r="AD867" s="61" t="n"/>
      <c r="AE867" s="61" t="n"/>
      <c r="AF867" s="61" t="n"/>
      <c r="AG867" s="61" t="n"/>
      <c r="AH867" s="61" t="n"/>
    </row>
    <row r="868" ht="15.75" customHeight="1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1" t="n"/>
      <c r="X868" s="61" t="n"/>
      <c r="Y868" s="61" t="n"/>
      <c r="Z868" s="61" t="n"/>
      <c r="AA868" s="61" t="n"/>
      <c r="AB868" s="61" t="n"/>
      <c r="AC868" s="61" t="n"/>
      <c r="AD868" s="61" t="n"/>
      <c r="AE868" s="61" t="n"/>
      <c r="AF868" s="61" t="n"/>
      <c r="AG868" s="61" t="n"/>
      <c r="AH868" s="61" t="n"/>
    </row>
    <row r="869" ht="15.75" customHeight="1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1" t="n"/>
      <c r="X869" s="61" t="n"/>
      <c r="Y869" s="61" t="n"/>
      <c r="Z869" s="61" t="n"/>
      <c r="AA869" s="61" t="n"/>
      <c r="AB869" s="61" t="n"/>
      <c r="AC869" s="61" t="n"/>
      <c r="AD869" s="61" t="n"/>
      <c r="AE869" s="61" t="n"/>
      <c r="AF869" s="61" t="n"/>
      <c r="AG869" s="61" t="n"/>
      <c r="AH869" s="61" t="n"/>
    </row>
    <row r="870" ht="15.75" customHeight="1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1" t="n"/>
      <c r="X870" s="61" t="n"/>
      <c r="Y870" s="61" t="n"/>
      <c r="Z870" s="61" t="n"/>
      <c r="AA870" s="61" t="n"/>
      <c r="AB870" s="61" t="n"/>
      <c r="AC870" s="61" t="n"/>
      <c r="AD870" s="61" t="n"/>
      <c r="AE870" s="61" t="n"/>
      <c r="AF870" s="61" t="n"/>
      <c r="AG870" s="61" t="n"/>
      <c r="AH870" s="61" t="n"/>
    </row>
    <row r="871" ht="15.75" customHeight="1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1" t="n"/>
      <c r="X871" s="61" t="n"/>
      <c r="Y871" s="61" t="n"/>
      <c r="Z871" s="61" t="n"/>
      <c r="AA871" s="61" t="n"/>
      <c r="AB871" s="61" t="n"/>
      <c r="AC871" s="61" t="n"/>
      <c r="AD871" s="61" t="n"/>
      <c r="AE871" s="61" t="n"/>
      <c r="AF871" s="61" t="n"/>
      <c r="AG871" s="61" t="n"/>
      <c r="AH871" s="61" t="n"/>
    </row>
    <row r="872" ht="15.75" customHeight="1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1" t="n"/>
      <c r="X872" s="61" t="n"/>
      <c r="Y872" s="61" t="n"/>
      <c r="Z872" s="61" t="n"/>
      <c r="AA872" s="61" t="n"/>
      <c r="AB872" s="61" t="n"/>
      <c r="AC872" s="61" t="n"/>
      <c r="AD872" s="61" t="n"/>
      <c r="AE872" s="61" t="n"/>
      <c r="AF872" s="61" t="n"/>
      <c r="AG872" s="61" t="n"/>
      <c r="AH872" s="61" t="n"/>
    </row>
    <row r="873" ht="15.75" customHeight="1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1" t="n"/>
      <c r="X873" s="61" t="n"/>
      <c r="Y873" s="61" t="n"/>
      <c r="Z873" s="61" t="n"/>
      <c r="AA873" s="61" t="n"/>
      <c r="AB873" s="61" t="n"/>
      <c r="AC873" s="61" t="n"/>
      <c r="AD873" s="61" t="n"/>
      <c r="AE873" s="61" t="n"/>
      <c r="AF873" s="61" t="n"/>
      <c r="AG873" s="61" t="n"/>
      <c r="AH873" s="61" t="n"/>
    </row>
    <row r="874" ht="15.75" customHeight="1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1" t="n"/>
      <c r="X874" s="61" t="n"/>
      <c r="Y874" s="61" t="n"/>
      <c r="Z874" s="61" t="n"/>
      <c r="AA874" s="61" t="n"/>
      <c r="AB874" s="61" t="n"/>
      <c r="AC874" s="61" t="n"/>
      <c r="AD874" s="61" t="n"/>
      <c r="AE874" s="61" t="n"/>
      <c r="AF874" s="61" t="n"/>
      <c r="AG874" s="61" t="n"/>
      <c r="AH874" s="61" t="n"/>
    </row>
    <row r="875" ht="15.75" customHeight="1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1" t="n"/>
      <c r="X875" s="61" t="n"/>
      <c r="Y875" s="61" t="n"/>
      <c r="Z875" s="61" t="n"/>
      <c r="AA875" s="61" t="n"/>
      <c r="AB875" s="61" t="n"/>
      <c r="AC875" s="61" t="n"/>
      <c r="AD875" s="61" t="n"/>
      <c r="AE875" s="61" t="n"/>
      <c r="AF875" s="61" t="n"/>
      <c r="AG875" s="61" t="n"/>
      <c r="AH875" s="61" t="n"/>
    </row>
    <row r="876" ht="15.75" customHeight="1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1" t="n"/>
      <c r="X876" s="61" t="n"/>
      <c r="Y876" s="61" t="n"/>
      <c r="Z876" s="61" t="n"/>
      <c r="AA876" s="61" t="n"/>
      <c r="AB876" s="61" t="n"/>
      <c r="AC876" s="61" t="n"/>
      <c r="AD876" s="61" t="n"/>
      <c r="AE876" s="61" t="n"/>
      <c r="AF876" s="61" t="n"/>
      <c r="AG876" s="61" t="n"/>
      <c r="AH876" s="61" t="n"/>
    </row>
    <row r="877" ht="15.75" customHeight="1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1" t="n"/>
      <c r="X877" s="61" t="n"/>
      <c r="Y877" s="61" t="n"/>
      <c r="Z877" s="61" t="n"/>
      <c r="AA877" s="61" t="n"/>
      <c r="AB877" s="61" t="n"/>
      <c r="AC877" s="61" t="n"/>
      <c r="AD877" s="61" t="n"/>
      <c r="AE877" s="61" t="n"/>
      <c r="AF877" s="61" t="n"/>
      <c r="AG877" s="61" t="n"/>
      <c r="AH877" s="61" t="n"/>
    </row>
    <row r="878" ht="15.75" customHeight="1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1" t="n"/>
      <c r="X878" s="61" t="n"/>
      <c r="Y878" s="61" t="n"/>
      <c r="Z878" s="61" t="n"/>
      <c r="AA878" s="61" t="n"/>
      <c r="AB878" s="61" t="n"/>
      <c r="AC878" s="61" t="n"/>
      <c r="AD878" s="61" t="n"/>
      <c r="AE878" s="61" t="n"/>
      <c r="AF878" s="61" t="n"/>
      <c r="AG878" s="61" t="n"/>
      <c r="AH878" s="61" t="n"/>
    </row>
    <row r="879" ht="15.75" customHeight="1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1" t="n"/>
      <c r="X879" s="61" t="n"/>
      <c r="Y879" s="61" t="n"/>
      <c r="Z879" s="61" t="n"/>
      <c r="AA879" s="61" t="n"/>
      <c r="AB879" s="61" t="n"/>
      <c r="AC879" s="61" t="n"/>
      <c r="AD879" s="61" t="n"/>
      <c r="AE879" s="61" t="n"/>
      <c r="AF879" s="61" t="n"/>
      <c r="AG879" s="61" t="n"/>
      <c r="AH879" s="61" t="n"/>
    </row>
    <row r="880" ht="15.75" customHeight="1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1" t="n"/>
      <c r="X880" s="61" t="n"/>
      <c r="Y880" s="61" t="n"/>
      <c r="Z880" s="61" t="n"/>
      <c r="AA880" s="61" t="n"/>
      <c r="AB880" s="61" t="n"/>
      <c r="AC880" s="61" t="n"/>
      <c r="AD880" s="61" t="n"/>
      <c r="AE880" s="61" t="n"/>
      <c r="AF880" s="61" t="n"/>
      <c r="AG880" s="61" t="n"/>
      <c r="AH880" s="61" t="n"/>
    </row>
    <row r="881" ht="15.75" customHeight="1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1" t="n"/>
      <c r="X881" s="61" t="n"/>
      <c r="Y881" s="61" t="n"/>
      <c r="Z881" s="61" t="n"/>
      <c r="AA881" s="61" t="n"/>
      <c r="AB881" s="61" t="n"/>
      <c r="AC881" s="61" t="n"/>
      <c r="AD881" s="61" t="n"/>
      <c r="AE881" s="61" t="n"/>
      <c r="AF881" s="61" t="n"/>
      <c r="AG881" s="61" t="n"/>
      <c r="AH881" s="61" t="n"/>
    </row>
    <row r="882" ht="15.75" customHeight="1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1" t="n"/>
      <c r="X882" s="61" t="n"/>
      <c r="Y882" s="61" t="n"/>
      <c r="Z882" s="61" t="n"/>
      <c r="AA882" s="61" t="n"/>
      <c r="AB882" s="61" t="n"/>
      <c r="AC882" s="61" t="n"/>
      <c r="AD882" s="61" t="n"/>
      <c r="AE882" s="61" t="n"/>
      <c r="AF882" s="61" t="n"/>
      <c r="AG882" s="61" t="n"/>
      <c r="AH882" s="61" t="n"/>
    </row>
    <row r="883" ht="15.75" customHeight="1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1" t="n"/>
      <c r="X883" s="61" t="n"/>
      <c r="Y883" s="61" t="n"/>
      <c r="Z883" s="61" t="n"/>
      <c r="AA883" s="61" t="n"/>
      <c r="AB883" s="61" t="n"/>
      <c r="AC883" s="61" t="n"/>
      <c r="AD883" s="61" t="n"/>
      <c r="AE883" s="61" t="n"/>
      <c r="AF883" s="61" t="n"/>
      <c r="AG883" s="61" t="n"/>
      <c r="AH883" s="61" t="n"/>
    </row>
    <row r="884" ht="15.75" customHeight="1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1" t="n"/>
      <c r="X884" s="61" t="n"/>
      <c r="Y884" s="61" t="n"/>
      <c r="Z884" s="61" t="n"/>
      <c r="AA884" s="61" t="n"/>
      <c r="AB884" s="61" t="n"/>
      <c r="AC884" s="61" t="n"/>
      <c r="AD884" s="61" t="n"/>
      <c r="AE884" s="61" t="n"/>
      <c r="AF884" s="61" t="n"/>
      <c r="AG884" s="61" t="n"/>
      <c r="AH884" s="61" t="n"/>
    </row>
    <row r="885" ht="15.75" customHeight="1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1" t="n"/>
      <c r="X885" s="61" t="n"/>
      <c r="Y885" s="61" t="n"/>
      <c r="Z885" s="61" t="n"/>
      <c r="AA885" s="61" t="n"/>
      <c r="AB885" s="61" t="n"/>
      <c r="AC885" s="61" t="n"/>
      <c r="AD885" s="61" t="n"/>
      <c r="AE885" s="61" t="n"/>
      <c r="AF885" s="61" t="n"/>
      <c r="AG885" s="61" t="n"/>
      <c r="AH885" s="61" t="n"/>
    </row>
    <row r="886" ht="15.75" customHeight="1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1" t="n"/>
      <c r="X886" s="61" t="n"/>
      <c r="Y886" s="61" t="n"/>
      <c r="Z886" s="61" t="n"/>
      <c r="AA886" s="61" t="n"/>
      <c r="AB886" s="61" t="n"/>
      <c r="AC886" s="61" t="n"/>
      <c r="AD886" s="61" t="n"/>
      <c r="AE886" s="61" t="n"/>
      <c r="AF886" s="61" t="n"/>
      <c r="AG886" s="61" t="n"/>
      <c r="AH886" s="61" t="n"/>
    </row>
    <row r="887" ht="15.75" customHeight="1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1" t="n"/>
      <c r="X887" s="61" t="n"/>
      <c r="Y887" s="61" t="n"/>
      <c r="Z887" s="61" t="n"/>
      <c r="AA887" s="61" t="n"/>
      <c r="AB887" s="61" t="n"/>
      <c r="AC887" s="61" t="n"/>
      <c r="AD887" s="61" t="n"/>
      <c r="AE887" s="61" t="n"/>
      <c r="AF887" s="61" t="n"/>
      <c r="AG887" s="61" t="n"/>
      <c r="AH887" s="61" t="n"/>
    </row>
    <row r="888" ht="15.75" customHeight="1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1" t="n"/>
      <c r="X888" s="61" t="n"/>
      <c r="Y888" s="61" t="n"/>
      <c r="Z888" s="61" t="n"/>
      <c r="AA888" s="61" t="n"/>
      <c r="AB888" s="61" t="n"/>
      <c r="AC888" s="61" t="n"/>
      <c r="AD888" s="61" t="n"/>
      <c r="AE888" s="61" t="n"/>
      <c r="AF888" s="61" t="n"/>
      <c r="AG888" s="61" t="n"/>
      <c r="AH888" s="61" t="n"/>
    </row>
    <row r="889" ht="15.75" customHeight="1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1" t="n"/>
      <c r="X889" s="61" t="n"/>
      <c r="Y889" s="61" t="n"/>
      <c r="Z889" s="61" t="n"/>
      <c r="AA889" s="61" t="n"/>
      <c r="AB889" s="61" t="n"/>
      <c r="AC889" s="61" t="n"/>
      <c r="AD889" s="61" t="n"/>
      <c r="AE889" s="61" t="n"/>
      <c r="AF889" s="61" t="n"/>
      <c r="AG889" s="61" t="n"/>
      <c r="AH889" s="61" t="n"/>
    </row>
    <row r="890" ht="15.75" customHeight="1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1" t="n"/>
      <c r="X890" s="61" t="n"/>
      <c r="Y890" s="61" t="n"/>
      <c r="Z890" s="61" t="n"/>
      <c r="AA890" s="61" t="n"/>
      <c r="AB890" s="61" t="n"/>
      <c r="AC890" s="61" t="n"/>
      <c r="AD890" s="61" t="n"/>
      <c r="AE890" s="61" t="n"/>
      <c r="AF890" s="61" t="n"/>
      <c r="AG890" s="61" t="n"/>
      <c r="AH890" s="61" t="n"/>
    </row>
    <row r="891" ht="15.75" customHeight="1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1" t="n"/>
      <c r="X891" s="61" t="n"/>
      <c r="Y891" s="61" t="n"/>
      <c r="Z891" s="61" t="n"/>
      <c r="AA891" s="61" t="n"/>
      <c r="AB891" s="61" t="n"/>
      <c r="AC891" s="61" t="n"/>
      <c r="AD891" s="61" t="n"/>
      <c r="AE891" s="61" t="n"/>
      <c r="AF891" s="61" t="n"/>
      <c r="AG891" s="61" t="n"/>
      <c r="AH891" s="61" t="n"/>
    </row>
    <row r="892" ht="15.75" customHeight="1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1" t="n"/>
      <c r="X892" s="61" t="n"/>
      <c r="Y892" s="61" t="n"/>
      <c r="Z892" s="61" t="n"/>
      <c r="AA892" s="61" t="n"/>
      <c r="AB892" s="61" t="n"/>
      <c r="AC892" s="61" t="n"/>
      <c r="AD892" s="61" t="n"/>
      <c r="AE892" s="61" t="n"/>
      <c r="AF892" s="61" t="n"/>
      <c r="AG892" s="61" t="n"/>
      <c r="AH892" s="61" t="n"/>
    </row>
    <row r="893" ht="15.75" customHeight="1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1" t="n"/>
      <c r="X893" s="61" t="n"/>
      <c r="Y893" s="61" t="n"/>
      <c r="Z893" s="61" t="n"/>
      <c r="AA893" s="61" t="n"/>
      <c r="AB893" s="61" t="n"/>
      <c r="AC893" s="61" t="n"/>
      <c r="AD893" s="61" t="n"/>
      <c r="AE893" s="61" t="n"/>
      <c r="AF893" s="61" t="n"/>
      <c r="AG893" s="61" t="n"/>
      <c r="AH893" s="61" t="n"/>
    </row>
    <row r="894" ht="15.75" customHeight="1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1" t="n"/>
      <c r="X894" s="61" t="n"/>
      <c r="Y894" s="61" t="n"/>
      <c r="Z894" s="61" t="n"/>
      <c r="AA894" s="61" t="n"/>
      <c r="AB894" s="61" t="n"/>
      <c r="AC894" s="61" t="n"/>
      <c r="AD894" s="61" t="n"/>
      <c r="AE894" s="61" t="n"/>
      <c r="AF894" s="61" t="n"/>
      <c r="AG894" s="61" t="n"/>
      <c r="AH894" s="61" t="n"/>
    </row>
    <row r="895" ht="15.75" customHeight="1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1" t="n"/>
      <c r="X895" s="61" t="n"/>
      <c r="Y895" s="61" t="n"/>
      <c r="Z895" s="61" t="n"/>
      <c r="AA895" s="61" t="n"/>
      <c r="AB895" s="61" t="n"/>
      <c r="AC895" s="61" t="n"/>
      <c r="AD895" s="61" t="n"/>
      <c r="AE895" s="61" t="n"/>
      <c r="AF895" s="61" t="n"/>
      <c r="AG895" s="61" t="n"/>
      <c r="AH895" s="61" t="n"/>
    </row>
    <row r="896" ht="15.75" customHeight="1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1" t="n"/>
      <c r="X896" s="61" t="n"/>
      <c r="Y896" s="61" t="n"/>
      <c r="Z896" s="61" t="n"/>
      <c r="AA896" s="61" t="n"/>
      <c r="AB896" s="61" t="n"/>
      <c r="AC896" s="61" t="n"/>
      <c r="AD896" s="61" t="n"/>
      <c r="AE896" s="61" t="n"/>
      <c r="AF896" s="61" t="n"/>
      <c r="AG896" s="61" t="n"/>
      <c r="AH896" s="61" t="n"/>
    </row>
    <row r="897" ht="15.75" customHeight="1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1" t="n"/>
      <c r="X897" s="61" t="n"/>
      <c r="Y897" s="61" t="n"/>
      <c r="Z897" s="61" t="n"/>
      <c r="AA897" s="61" t="n"/>
      <c r="AB897" s="61" t="n"/>
      <c r="AC897" s="61" t="n"/>
      <c r="AD897" s="61" t="n"/>
      <c r="AE897" s="61" t="n"/>
      <c r="AF897" s="61" t="n"/>
      <c r="AG897" s="61" t="n"/>
      <c r="AH897" s="61" t="n"/>
    </row>
    <row r="898" ht="15.75" customHeight="1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1" t="n"/>
      <c r="X898" s="61" t="n"/>
      <c r="Y898" s="61" t="n"/>
      <c r="Z898" s="61" t="n"/>
      <c r="AA898" s="61" t="n"/>
      <c r="AB898" s="61" t="n"/>
      <c r="AC898" s="61" t="n"/>
      <c r="AD898" s="61" t="n"/>
      <c r="AE898" s="61" t="n"/>
      <c r="AF898" s="61" t="n"/>
      <c r="AG898" s="61" t="n"/>
      <c r="AH898" s="61" t="n"/>
    </row>
    <row r="899" ht="15.75" customHeight="1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1" t="n"/>
      <c r="X899" s="61" t="n"/>
      <c r="Y899" s="61" t="n"/>
      <c r="Z899" s="61" t="n"/>
      <c r="AA899" s="61" t="n"/>
      <c r="AB899" s="61" t="n"/>
      <c r="AC899" s="61" t="n"/>
      <c r="AD899" s="61" t="n"/>
      <c r="AE899" s="61" t="n"/>
      <c r="AF899" s="61" t="n"/>
      <c r="AG899" s="61" t="n"/>
      <c r="AH899" s="61" t="n"/>
    </row>
    <row r="900" ht="15.75" customHeight="1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1" t="n"/>
      <c r="X900" s="61" t="n"/>
      <c r="Y900" s="61" t="n"/>
      <c r="Z900" s="61" t="n"/>
      <c r="AA900" s="61" t="n"/>
      <c r="AB900" s="61" t="n"/>
      <c r="AC900" s="61" t="n"/>
      <c r="AD900" s="61" t="n"/>
      <c r="AE900" s="61" t="n"/>
      <c r="AF900" s="61" t="n"/>
      <c r="AG900" s="61" t="n"/>
      <c r="AH900" s="61" t="n"/>
    </row>
    <row r="901" ht="15.75" customHeight="1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1" t="n"/>
      <c r="X901" s="61" t="n"/>
      <c r="Y901" s="61" t="n"/>
      <c r="Z901" s="61" t="n"/>
      <c r="AA901" s="61" t="n"/>
      <c r="AB901" s="61" t="n"/>
      <c r="AC901" s="61" t="n"/>
      <c r="AD901" s="61" t="n"/>
      <c r="AE901" s="61" t="n"/>
      <c r="AF901" s="61" t="n"/>
      <c r="AG901" s="61" t="n"/>
      <c r="AH901" s="61" t="n"/>
    </row>
    <row r="902" ht="15.75" customHeight="1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1" t="n"/>
      <c r="X902" s="61" t="n"/>
      <c r="Y902" s="61" t="n"/>
      <c r="Z902" s="61" t="n"/>
      <c r="AA902" s="61" t="n"/>
      <c r="AB902" s="61" t="n"/>
      <c r="AC902" s="61" t="n"/>
      <c r="AD902" s="61" t="n"/>
      <c r="AE902" s="61" t="n"/>
      <c r="AF902" s="61" t="n"/>
      <c r="AG902" s="61" t="n"/>
      <c r="AH902" s="61" t="n"/>
    </row>
    <row r="903" ht="15.75" customHeight="1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1" t="n"/>
      <c r="X903" s="61" t="n"/>
      <c r="Y903" s="61" t="n"/>
      <c r="Z903" s="61" t="n"/>
      <c r="AA903" s="61" t="n"/>
      <c r="AB903" s="61" t="n"/>
      <c r="AC903" s="61" t="n"/>
      <c r="AD903" s="61" t="n"/>
      <c r="AE903" s="61" t="n"/>
      <c r="AF903" s="61" t="n"/>
      <c r="AG903" s="61" t="n"/>
      <c r="AH903" s="61" t="n"/>
    </row>
    <row r="904" ht="15.75" customHeight="1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1" t="n"/>
      <c r="X904" s="61" t="n"/>
      <c r="Y904" s="61" t="n"/>
      <c r="Z904" s="61" t="n"/>
      <c r="AA904" s="61" t="n"/>
      <c r="AB904" s="61" t="n"/>
      <c r="AC904" s="61" t="n"/>
      <c r="AD904" s="61" t="n"/>
      <c r="AE904" s="61" t="n"/>
      <c r="AF904" s="61" t="n"/>
      <c r="AG904" s="61" t="n"/>
      <c r="AH904" s="61" t="n"/>
    </row>
    <row r="905" ht="15.75" customHeight="1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1" t="n"/>
      <c r="X905" s="61" t="n"/>
      <c r="Y905" s="61" t="n"/>
      <c r="Z905" s="61" t="n"/>
      <c r="AA905" s="61" t="n"/>
      <c r="AB905" s="61" t="n"/>
      <c r="AC905" s="61" t="n"/>
      <c r="AD905" s="61" t="n"/>
      <c r="AE905" s="61" t="n"/>
      <c r="AF905" s="61" t="n"/>
      <c r="AG905" s="61" t="n"/>
      <c r="AH905" s="61" t="n"/>
    </row>
    <row r="906" ht="15.75" customHeight="1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1" t="n"/>
      <c r="X906" s="61" t="n"/>
      <c r="Y906" s="61" t="n"/>
      <c r="Z906" s="61" t="n"/>
      <c r="AA906" s="61" t="n"/>
      <c r="AB906" s="61" t="n"/>
      <c r="AC906" s="61" t="n"/>
      <c r="AD906" s="61" t="n"/>
      <c r="AE906" s="61" t="n"/>
      <c r="AF906" s="61" t="n"/>
      <c r="AG906" s="61" t="n"/>
      <c r="AH906" s="61" t="n"/>
    </row>
    <row r="907" ht="15.75" customHeight="1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1" t="n"/>
      <c r="X907" s="61" t="n"/>
      <c r="Y907" s="61" t="n"/>
      <c r="Z907" s="61" t="n"/>
      <c r="AA907" s="61" t="n"/>
      <c r="AB907" s="61" t="n"/>
      <c r="AC907" s="61" t="n"/>
      <c r="AD907" s="61" t="n"/>
      <c r="AE907" s="61" t="n"/>
      <c r="AF907" s="61" t="n"/>
      <c r="AG907" s="61" t="n"/>
      <c r="AH907" s="61" t="n"/>
    </row>
    <row r="908" ht="15.75" customHeight="1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1" t="n"/>
      <c r="X908" s="61" t="n"/>
      <c r="Y908" s="61" t="n"/>
      <c r="Z908" s="61" t="n"/>
      <c r="AA908" s="61" t="n"/>
      <c r="AB908" s="61" t="n"/>
      <c r="AC908" s="61" t="n"/>
      <c r="AD908" s="61" t="n"/>
      <c r="AE908" s="61" t="n"/>
      <c r="AF908" s="61" t="n"/>
      <c r="AG908" s="61" t="n"/>
      <c r="AH908" s="61" t="n"/>
    </row>
    <row r="909" ht="15.75" customHeight="1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1" t="n"/>
      <c r="X909" s="61" t="n"/>
      <c r="Y909" s="61" t="n"/>
      <c r="Z909" s="61" t="n"/>
      <c r="AA909" s="61" t="n"/>
      <c r="AB909" s="61" t="n"/>
      <c r="AC909" s="61" t="n"/>
      <c r="AD909" s="61" t="n"/>
      <c r="AE909" s="61" t="n"/>
      <c r="AF909" s="61" t="n"/>
      <c r="AG909" s="61" t="n"/>
      <c r="AH909" s="61" t="n"/>
    </row>
    <row r="910" ht="15.75" customHeight="1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1" t="n"/>
      <c r="X910" s="61" t="n"/>
      <c r="Y910" s="61" t="n"/>
      <c r="Z910" s="61" t="n"/>
      <c r="AA910" s="61" t="n"/>
      <c r="AB910" s="61" t="n"/>
      <c r="AC910" s="61" t="n"/>
      <c r="AD910" s="61" t="n"/>
      <c r="AE910" s="61" t="n"/>
      <c r="AF910" s="61" t="n"/>
      <c r="AG910" s="61" t="n"/>
      <c r="AH910" s="61" t="n"/>
    </row>
    <row r="911" ht="15.75" customHeight="1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1" t="n"/>
      <c r="X911" s="61" t="n"/>
      <c r="Y911" s="61" t="n"/>
      <c r="Z911" s="61" t="n"/>
      <c r="AA911" s="61" t="n"/>
      <c r="AB911" s="61" t="n"/>
      <c r="AC911" s="61" t="n"/>
      <c r="AD911" s="61" t="n"/>
      <c r="AE911" s="61" t="n"/>
      <c r="AF911" s="61" t="n"/>
      <c r="AG911" s="61" t="n"/>
      <c r="AH911" s="61" t="n"/>
    </row>
    <row r="912" ht="15.75" customHeight="1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1" t="n"/>
      <c r="X912" s="61" t="n"/>
      <c r="Y912" s="61" t="n"/>
      <c r="Z912" s="61" t="n"/>
      <c r="AA912" s="61" t="n"/>
      <c r="AB912" s="61" t="n"/>
      <c r="AC912" s="61" t="n"/>
      <c r="AD912" s="61" t="n"/>
      <c r="AE912" s="61" t="n"/>
      <c r="AF912" s="61" t="n"/>
      <c r="AG912" s="61" t="n"/>
      <c r="AH912" s="61" t="n"/>
    </row>
    <row r="913" ht="15.75" customHeight="1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1" t="n"/>
      <c r="X913" s="61" t="n"/>
      <c r="Y913" s="61" t="n"/>
      <c r="Z913" s="61" t="n"/>
      <c r="AA913" s="61" t="n"/>
      <c r="AB913" s="61" t="n"/>
      <c r="AC913" s="61" t="n"/>
      <c r="AD913" s="61" t="n"/>
      <c r="AE913" s="61" t="n"/>
      <c r="AF913" s="61" t="n"/>
      <c r="AG913" s="61" t="n"/>
      <c r="AH913" s="61" t="n"/>
    </row>
    <row r="914" ht="15.75" customHeight="1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1" t="n"/>
      <c r="X914" s="61" t="n"/>
      <c r="Y914" s="61" t="n"/>
      <c r="Z914" s="61" t="n"/>
      <c r="AA914" s="61" t="n"/>
      <c r="AB914" s="61" t="n"/>
      <c r="AC914" s="61" t="n"/>
      <c r="AD914" s="61" t="n"/>
      <c r="AE914" s="61" t="n"/>
      <c r="AF914" s="61" t="n"/>
      <c r="AG914" s="61" t="n"/>
      <c r="AH914" s="61" t="n"/>
    </row>
    <row r="915" ht="15.75" customHeight="1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1" t="n"/>
      <c r="X915" s="61" t="n"/>
      <c r="Y915" s="61" t="n"/>
      <c r="Z915" s="61" t="n"/>
      <c r="AA915" s="61" t="n"/>
      <c r="AB915" s="61" t="n"/>
      <c r="AC915" s="61" t="n"/>
      <c r="AD915" s="61" t="n"/>
      <c r="AE915" s="61" t="n"/>
      <c r="AF915" s="61" t="n"/>
      <c r="AG915" s="61" t="n"/>
      <c r="AH915" s="61" t="n"/>
    </row>
    <row r="916" ht="15.75" customHeight="1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1" t="n"/>
      <c r="X916" s="61" t="n"/>
      <c r="Y916" s="61" t="n"/>
      <c r="Z916" s="61" t="n"/>
      <c r="AA916" s="61" t="n"/>
      <c r="AB916" s="61" t="n"/>
      <c r="AC916" s="61" t="n"/>
      <c r="AD916" s="61" t="n"/>
      <c r="AE916" s="61" t="n"/>
      <c r="AF916" s="61" t="n"/>
      <c r="AG916" s="61" t="n"/>
      <c r="AH916" s="61" t="n"/>
    </row>
    <row r="917" ht="15.75" customHeight="1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1" t="n"/>
      <c r="X917" s="61" t="n"/>
      <c r="Y917" s="61" t="n"/>
      <c r="Z917" s="61" t="n"/>
      <c r="AA917" s="61" t="n"/>
      <c r="AB917" s="61" t="n"/>
      <c r="AC917" s="61" t="n"/>
      <c r="AD917" s="61" t="n"/>
      <c r="AE917" s="61" t="n"/>
      <c r="AF917" s="61" t="n"/>
      <c r="AG917" s="61" t="n"/>
      <c r="AH917" s="61" t="n"/>
    </row>
    <row r="918" ht="15.75" customHeight="1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1" t="n"/>
      <c r="X918" s="61" t="n"/>
      <c r="Y918" s="61" t="n"/>
      <c r="Z918" s="61" t="n"/>
      <c r="AA918" s="61" t="n"/>
      <c r="AB918" s="61" t="n"/>
      <c r="AC918" s="61" t="n"/>
      <c r="AD918" s="61" t="n"/>
      <c r="AE918" s="61" t="n"/>
      <c r="AF918" s="61" t="n"/>
      <c r="AG918" s="61" t="n"/>
      <c r="AH918" s="61" t="n"/>
    </row>
    <row r="919" ht="15.75" customHeight="1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1" t="n"/>
      <c r="X919" s="61" t="n"/>
      <c r="Y919" s="61" t="n"/>
      <c r="Z919" s="61" t="n"/>
      <c r="AA919" s="61" t="n"/>
      <c r="AB919" s="61" t="n"/>
      <c r="AC919" s="61" t="n"/>
      <c r="AD919" s="61" t="n"/>
      <c r="AE919" s="61" t="n"/>
      <c r="AF919" s="61" t="n"/>
      <c r="AG919" s="61" t="n"/>
      <c r="AH919" s="61" t="n"/>
    </row>
    <row r="920" ht="15.75" customHeight="1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1" t="n"/>
      <c r="X920" s="61" t="n"/>
      <c r="Y920" s="61" t="n"/>
      <c r="Z920" s="61" t="n"/>
      <c r="AA920" s="61" t="n"/>
      <c r="AB920" s="61" t="n"/>
      <c r="AC920" s="61" t="n"/>
      <c r="AD920" s="61" t="n"/>
      <c r="AE920" s="61" t="n"/>
      <c r="AF920" s="61" t="n"/>
      <c r="AG920" s="61" t="n"/>
      <c r="AH920" s="61" t="n"/>
    </row>
    <row r="921" ht="15.75" customHeight="1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1" t="n"/>
      <c r="X921" s="61" t="n"/>
      <c r="Y921" s="61" t="n"/>
      <c r="Z921" s="61" t="n"/>
      <c r="AA921" s="61" t="n"/>
      <c r="AB921" s="61" t="n"/>
      <c r="AC921" s="61" t="n"/>
      <c r="AD921" s="61" t="n"/>
      <c r="AE921" s="61" t="n"/>
      <c r="AF921" s="61" t="n"/>
      <c r="AG921" s="61" t="n"/>
      <c r="AH921" s="61" t="n"/>
    </row>
    <row r="922" ht="15.75" customHeight="1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1" t="n"/>
      <c r="X922" s="61" t="n"/>
      <c r="Y922" s="61" t="n"/>
      <c r="Z922" s="61" t="n"/>
      <c r="AA922" s="61" t="n"/>
      <c r="AB922" s="61" t="n"/>
      <c r="AC922" s="61" t="n"/>
      <c r="AD922" s="61" t="n"/>
      <c r="AE922" s="61" t="n"/>
      <c r="AF922" s="61" t="n"/>
      <c r="AG922" s="61" t="n"/>
      <c r="AH922" s="61" t="n"/>
    </row>
    <row r="923" ht="15.75" customHeight="1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1" t="n"/>
      <c r="X923" s="61" t="n"/>
      <c r="Y923" s="61" t="n"/>
      <c r="Z923" s="61" t="n"/>
      <c r="AA923" s="61" t="n"/>
      <c r="AB923" s="61" t="n"/>
      <c r="AC923" s="61" t="n"/>
      <c r="AD923" s="61" t="n"/>
      <c r="AE923" s="61" t="n"/>
      <c r="AF923" s="61" t="n"/>
      <c r="AG923" s="61" t="n"/>
      <c r="AH923" s="61" t="n"/>
    </row>
    <row r="924" ht="15.75" customHeight="1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1" t="n"/>
      <c r="X924" s="61" t="n"/>
      <c r="Y924" s="61" t="n"/>
      <c r="Z924" s="61" t="n"/>
      <c r="AA924" s="61" t="n"/>
      <c r="AB924" s="61" t="n"/>
      <c r="AC924" s="61" t="n"/>
      <c r="AD924" s="61" t="n"/>
      <c r="AE924" s="61" t="n"/>
      <c r="AF924" s="61" t="n"/>
      <c r="AG924" s="61" t="n"/>
      <c r="AH924" s="61" t="n"/>
    </row>
    <row r="925" ht="15.75" customHeight="1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1" t="n"/>
      <c r="X925" s="61" t="n"/>
      <c r="Y925" s="61" t="n"/>
      <c r="Z925" s="61" t="n"/>
      <c r="AA925" s="61" t="n"/>
      <c r="AB925" s="61" t="n"/>
      <c r="AC925" s="61" t="n"/>
      <c r="AD925" s="61" t="n"/>
      <c r="AE925" s="61" t="n"/>
      <c r="AF925" s="61" t="n"/>
      <c r="AG925" s="61" t="n"/>
      <c r="AH925" s="61" t="n"/>
    </row>
    <row r="926" ht="15.75" customHeight="1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1" t="n"/>
      <c r="X926" s="61" t="n"/>
      <c r="Y926" s="61" t="n"/>
      <c r="Z926" s="61" t="n"/>
      <c r="AA926" s="61" t="n"/>
      <c r="AB926" s="61" t="n"/>
      <c r="AC926" s="61" t="n"/>
      <c r="AD926" s="61" t="n"/>
      <c r="AE926" s="61" t="n"/>
      <c r="AF926" s="61" t="n"/>
      <c r="AG926" s="61" t="n"/>
      <c r="AH926" s="61" t="n"/>
    </row>
    <row r="927" ht="15.75" customHeight="1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1" t="n"/>
      <c r="X927" s="61" t="n"/>
      <c r="Y927" s="61" t="n"/>
      <c r="Z927" s="61" t="n"/>
      <c r="AA927" s="61" t="n"/>
      <c r="AB927" s="61" t="n"/>
      <c r="AC927" s="61" t="n"/>
      <c r="AD927" s="61" t="n"/>
      <c r="AE927" s="61" t="n"/>
      <c r="AF927" s="61" t="n"/>
      <c r="AG927" s="61" t="n"/>
      <c r="AH927" s="61" t="n"/>
    </row>
    <row r="928" ht="15.75" customHeight="1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1" t="n"/>
      <c r="X928" s="61" t="n"/>
      <c r="Y928" s="61" t="n"/>
      <c r="Z928" s="61" t="n"/>
      <c r="AA928" s="61" t="n"/>
      <c r="AB928" s="61" t="n"/>
      <c r="AC928" s="61" t="n"/>
      <c r="AD928" s="61" t="n"/>
      <c r="AE928" s="61" t="n"/>
      <c r="AF928" s="61" t="n"/>
      <c r="AG928" s="61" t="n"/>
      <c r="AH928" s="61" t="n"/>
    </row>
    <row r="929" ht="15.75" customHeight="1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1" t="n"/>
      <c r="X929" s="61" t="n"/>
      <c r="Y929" s="61" t="n"/>
      <c r="Z929" s="61" t="n"/>
      <c r="AA929" s="61" t="n"/>
      <c r="AB929" s="61" t="n"/>
      <c r="AC929" s="61" t="n"/>
      <c r="AD929" s="61" t="n"/>
      <c r="AE929" s="61" t="n"/>
      <c r="AF929" s="61" t="n"/>
      <c r="AG929" s="61" t="n"/>
      <c r="AH929" s="61" t="n"/>
    </row>
    <row r="930" ht="15.75" customHeight="1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1" t="n"/>
      <c r="X930" s="61" t="n"/>
      <c r="Y930" s="61" t="n"/>
      <c r="Z930" s="61" t="n"/>
      <c r="AA930" s="61" t="n"/>
      <c r="AB930" s="61" t="n"/>
      <c r="AC930" s="61" t="n"/>
      <c r="AD930" s="61" t="n"/>
      <c r="AE930" s="61" t="n"/>
      <c r="AF930" s="61" t="n"/>
      <c r="AG930" s="61" t="n"/>
      <c r="AH930" s="61" t="n"/>
    </row>
    <row r="931" ht="15.75" customHeight="1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1" t="n"/>
      <c r="X931" s="61" t="n"/>
      <c r="Y931" s="61" t="n"/>
      <c r="Z931" s="61" t="n"/>
      <c r="AA931" s="61" t="n"/>
      <c r="AB931" s="61" t="n"/>
      <c r="AC931" s="61" t="n"/>
      <c r="AD931" s="61" t="n"/>
      <c r="AE931" s="61" t="n"/>
      <c r="AF931" s="61" t="n"/>
      <c r="AG931" s="61" t="n"/>
      <c r="AH931" s="61" t="n"/>
    </row>
    <row r="932" ht="15.75" customHeight="1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1" t="n"/>
      <c r="X932" s="61" t="n"/>
      <c r="Y932" s="61" t="n"/>
      <c r="Z932" s="61" t="n"/>
      <c r="AA932" s="61" t="n"/>
      <c r="AB932" s="61" t="n"/>
      <c r="AC932" s="61" t="n"/>
      <c r="AD932" s="61" t="n"/>
      <c r="AE932" s="61" t="n"/>
      <c r="AF932" s="61" t="n"/>
      <c r="AG932" s="61" t="n"/>
      <c r="AH932" s="61" t="n"/>
    </row>
    <row r="933" ht="15.75" customHeight="1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1" t="n"/>
      <c r="X933" s="61" t="n"/>
      <c r="Y933" s="61" t="n"/>
      <c r="Z933" s="61" t="n"/>
      <c r="AA933" s="61" t="n"/>
      <c r="AB933" s="61" t="n"/>
      <c r="AC933" s="61" t="n"/>
      <c r="AD933" s="61" t="n"/>
      <c r="AE933" s="61" t="n"/>
      <c r="AF933" s="61" t="n"/>
      <c r="AG933" s="61" t="n"/>
      <c r="AH933" s="61" t="n"/>
    </row>
    <row r="934" ht="15.75" customHeight="1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1" t="n"/>
      <c r="X934" s="61" t="n"/>
      <c r="Y934" s="61" t="n"/>
      <c r="Z934" s="61" t="n"/>
      <c r="AA934" s="61" t="n"/>
      <c r="AB934" s="61" t="n"/>
      <c r="AC934" s="61" t="n"/>
      <c r="AD934" s="61" t="n"/>
      <c r="AE934" s="61" t="n"/>
      <c r="AF934" s="61" t="n"/>
      <c r="AG934" s="61" t="n"/>
      <c r="AH934" s="61" t="n"/>
    </row>
    <row r="935" ht="15.75" customHeight="1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1" t="n"/>
      <c r="X935" s="61" t="n"/>
      <c r="Y935" s="61" t="n"/>
      <c r="Z935" s="61" t="n"/>
      <c r="AA935" s="61" t="n"/>
      <c r="AB935" s="61" t="n"/>
      <c r="AC935" s="61" t="n"/>
      <c r="AD935" s="61" t="n"/>
      <c r="AE935" s="61" t="n"/>
      <c r="AF935" s="61" t="n"/>
      <c r="AG935" s="61" t="n"/>
      <c r="AH935" s="61" t="n"/>
    </row>
    <row r="936" ht="15.75" customHeight="1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1" t="n"/>
      <c r="X936" s="61" t="n"/>
      <c r="Y936" s="61" t="n"/>
      <c r="Z936" s="61" t="n"/>
      <c r="AA936" s="61" t="n"/>
      <c r="AB936" s="61" t="n"/>
      <c r="AC936" s="61" t="n"/>
      <c r="AD936" s="61" t="n"/>
      <c r="AE936" s="61" t="n"/>
      <c r="AF936" s="61" t="n"/>
      <c r="AG936" s="61" t="n"/>
      <c r="AH936" s="61" t="n"/>
    </row>
    <row r="937" ht="15.75" customHeight="1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1" t="n"/>
      <c r="X937" s="61" t="n"/>
      <c r="Y937" s="61" t="n"/>
      <c r="Z937" s="61" t="n"/>
      <c r="AA937" s="61" t="n"/>
      <c r="AB937" s="61" t="n"/>
      <c r="AC937" s="61" t="n"/>
      <c r="AD937" s="61" t="n"/>
      <c r="AE937" s="61" t="n"/>
      <c r="AF937" s="61" t="n"/>
      <c r="AG937" s="61" t="n"/>
      <c r="AH937" s="61" t="n"/>
    </row>
    <row r="938" ht="15.75" customHeight="1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1" t="n"/>
      <c r="X938" s="61" t="n"/>
      <c r="Y938" s="61" t="n"/>
      <c r="Z938" s="61" t="n"/>
      <c r="AA938" s="61" t="n"/>
      <c r="AB938" s="61" t="n"/>
      <c r="AC938" s="61" t="n"/>
      <c r="AD938" s="61" t="n"/>
      <c r="AE938" s="61" t="n"/>
      <c r="AF938" s="61" t="n"/>
      <c r="AG938" s="61" t="n"/>
      <c r="AH938" s="61" t="n"/>
    </row>
    <row r="939" ht="15.75" customHeight="1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1" t="n"/>
      <c r="X939" s="61" t="n"/>
      <c r="Y939" s="61" t="n"/>
      <c r="Z939" s="61" t="n"/>
      <c r="AA939" s="61" t="n"/>
      <c r="AB939" s="61" t="n"/>
      <c r="AC939" s="61" t="n"/>
      <c r="AD939" s="61" t="n"/>
      <c r="AE939" s="61" t="n"/>
      <c r="AF939" s="61" t="n"/>
      <c r="AG939" s="61" t="n"/>
      <c r="AH939" s="61" t="n"/>
    </row>
    <row r="940" ht="15.75" customHeight="1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1" t="n"/>
      <c r="X940" s="61" t="n"/>
      <c r="Y940" s="61" t="n"/>
      <c r="Z940" s="61" t="n"/>
      <c r="AA940" s="61" t="n"/>
      <c r="AB940" s="61" t="n"/>
      <c r="AC940" s="61" t="n"/>
      <c r="AD940" s="61" t="n"/>
      <c r="AE940" s="61" t="n"/>
      <c r="AF940" s="61" t="n"/>
      <c r="AG940" s="61" t="n"/>
      <c r="AH940" s="61" t="n"/>
    </row>
    <row r="941" ht="15.75" customHeight="1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1" t="n"/>
      <c r="X941" s="61" t="n"/>
      <c r="Y941" s="61" t="n"/>
      <c r="Z941" s="61" t="n"/>
      <c r="AA941" s="61" t="n"/>
      <c r="AB941" s="61" t="n"/>
      <c r="AC941" s="61" t="n"/>
      <c r="AD941" s="61" t="n"/>
      <c r="AE941" s="61" t="n"/>
      <c r="AF941" s="61" t="n"/>
      <c r="AG941" s="61" t="n"/>
      <c r="AH941" s="61" t="n"/>
    </row>
    <row r="942" ht="15.75" customHeight="1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1" t="n"/>
      <c r="X942" s="61" t="n"/>
      <c r="Y942" s="61" t="n"/>
      <c r="Z942" s="61" t="n"/>
      <c r="AA942" s="61" t="n"/>
      <c r="AB942" s="61" t="n"/>
      <c r="AC942" s="61" t="n"/>
      <c r="AD942" s="61" t="n"/>
      <c r="AE942" s="61" t="n"/>
      <c r="AF942" s="61" t="n"/>
      <c r="AG942" s="61" t="n"/>
      <c r="AH942" s="61" t="n"/>
    </row>
    <row r="943" ht="15.75" customHeight="1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1" t="n"/>
      <c r="X943" s="61" t="n"/>
      <c r="Y943" s="61" t="n"/>
      <c r="Z943" s="61" t="n"/>
      <c r="AA943" s="61" t="n"/>
      <c r="AB943" s="61" t="n"/>
      <c r="AC943" s="61" t="n"/>
      <c r="AD943" s="61" t="n"/>
      <c r="AE943" s="61" t="n"/>
      <c r="AF943" s="61" t="n"/>
      <c r="AG943" s="61" t="n"/>
      <c r="AH943" s="61" t="n"/>
    </row>
    <row r="944" ht="15.75" customHeight="1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1" t="n"/>
      <c r="X944" s="61" t="n"/>
      <c r="Y944" s="61" t="n"/>
      <c r="Z944" s="61" t="n"/>
      <c r="AA944" s="61" t="n"/>
      <c r="AB944" s="61" t="n"/>
      <c r="AC944" s="61" t="n"/>
      <c r="AD944" s="61" t="n"/>
      <c r="AE944" s="61" t="n"/>
      <c r="AF944" s="61" t="n"/>
      <c r="AG944" s="61" t="n"/>
      <c r="AH944" s="61" t="n"/>
    </row>
    <row r="945" ht="15.75" customHeight="1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1" t="n"/>
      <c r="X945" s="61" t="n"/>
      <c r="Y945" s="61" t="n"/>
      <c r="Z945" s="61" t="n"/>
      <c r="AA945" s="61" t="n"/>
      <c r="AB945" s="61" t="n"/>
      <c r="AC945" s="61" t="n"/>
      <c r="AD945" s="61" t="n"/>
      <c r="AE945" s="61" t="n"/>
      <c r="AF945" s="61" t="n"/>
      <c r="AG945" s="61" t="n"/>
      <c r="AH945" s="61" t="n"/>
    </row>
    <row r="946" ht="15.75" customHeight="1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1" t="n"/>
      <c r="X946" s="61" t="n"/>
      <c r="Y946" s="61" t="n"/>
      <c r="Z946" s="61" t="n"/>
      <c r="AA946" s="61" t="n"/>
      <c r="AB946" s="61" t="n"/>
      <c r="AC946" s="61" t="n"/>
      <c r="AD946" s="61" t="n"/>
      <c r="AE946" s="61" t="n"/>
      <c r="AF946" s="61" t="n"/>
      <c r="AG946" s="61" t="n"/>
      <c r="AH946" s="61" t="n"/>
    </row>
    <row r="947" ht="15.75" customHeight="1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1" t="n"/>
      <c r="X947" s="61" t="n"/>
      <c r="Y947" s="61" t="n"/>
      <c r="Z947" s="61" t="n"/>
      <c r="AA947" s="61" t="n"/>
      <c r="AB947" s="61" t="n"/>
      <c r="AC947" s="61" t="n"/>
      <c r="AD947" s="61" t="n"/>
      <c r="AE947" s="61" t="n"/>
      <c r="AF947" s="61" t="n"/>
      <c r="AG947" s="61" t="n"/>
      <c r="AH947" s="61" t="n"/>
    </row>
    <row r="948" ht="15.75" customHeight="1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1" t="n"/>
      <c r="X948" s="61" t="n"/>
      <c r="Y948" s="61" t="n"/>
      <c r="Z948" s="61" t="n"/>
      <c r="AA948" s="61" t="n"/>
      <c r="AB948" s="61" t="n"/>
      <c r="AC948" s="61" t="n"/>
      <c r="AD948" s="61" t="n"/>
      <c r="AE948" s="61" t="n"/>
      <c r="AF948" s="61" t="n"/>
      <c r="AG948" s="61" t="n"/>
      <c r="AH948" s="61" t="n"/>
    </row>
    <row r="949" ht="15.75" customHeight="1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1" t="n"/>
      <c r="X949" s="61" t="n"/>
      <c r="Y949" s="61" t="n"/>
      <c r="Z949" s="61" t="n"/>
      <c r="AA949" s="61" t="n"/>
      <c r="AB949" s="61" t="n"/>
      <c r="AC949" s="61" t="n"/>
      <c r="AD949" s="61" t="n"/>
      <c r="AE949" s="61" t="n"/>
      <c r="AF949" s="61" t="n"/>
      <c r="AG949" s="61" t="n"/>
      <c r="AH949" s="61" t="n"/>
    </row>
    <row r="950" ht="15.75" customHeight="1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1" t="n"/>
      <c r="X950" s="61" t="n"/>
      <c r="Y950" s="61" t="n"/>
      <c r="Z950" s="61" t="n"/>
      <c r="AA950" s="61" t="n"/>
      <c r="AB950" s="61" t="n"/>
      <c r="AC950" s="61" t="n"/>
      <c r="AD950" s="61" t="n"/>
      <c r="AE950" s="61" t="n"/>
      <c r="AF950" s="61" t="n"/>
      <c r="AG950" s="61" t="n"/>
      <c r="AH950" s="61" t="n"/>
    </row>
    <row r="951" ht="15.75" customHeight="1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1" t="n"/>
      <c r="X951" s="61" t="n"/>
      <c r="Y951" s="61" t="n"/>
      <c r="Z951" s="61" t="n"/>
      <c r="AA951" s="61" t="n"/>
      <c r="AB951" s="61" t="n"/>
      <c r="AC951" s="61" t="n"/>
      <c r="AD951" s="61" t="n"/>
      <c r="AE951" s="61" t="n"/>
      <c r="AF951" s="61" t="n"/>
      <c r="AG951" s="61" t="n"/>
      <c r="AH951" s="61" t="n"/>
    </row>
    <row r="952" ht="15.75" customHeight="1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1" t="n"/>
      <c r="X952" s="61" t="n"/>
      <c r="Y952" s="61" t="n"/>
      <c r="Z952" s="61" t="n"/>
      <c r="AA952" s="61" t="n"/>
      <c r="AB952" s="61" t="n"/>
      <c r="AC952" s="61" t="n"/>
      <c r="AD952" s="61" t="n"/>
      <c r="AE952" s="61" t="n"/>
      <c r="AF952" s="61" t="n"/>
      <c r="AG952" s="61" t="n"/>
      <c r="AH952" s="61" t="n"/>
    </row>
    <row r="953" ht="15.75" customHeight="1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1" t="n"/>
      <c r="X953" s="61" t="n"/>
      <c r="Y953" s="61" t="n"/>
      <c r="Z953" s="61" t="n"/>
      <c r="AA953" s="61" t="n"/>
      <c r="AB953" s="61" t="n"/>
      <c r="AC953" s="61" t="n"/>
      <c r="AD953" s="61" t="n"/>
      <c r="AE953" s="61" t="n"/>
      <c r="AF953" s="61" t="n"/>
      <c r="AG953" s="61" t="n"/>
      <c r="AH953" s="61" t="n"/>
    </row>
    <row r="954" ht="15.75" customHeight="1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1" t="n"/>
      <c r="X954" s="61" t="n"/>
      <c r="Y954" s="61" t="n"/>
      <c r="Z954" s="61" t="n"/>
      <c r="AA954" s="61" t="n"/>
      <c r="AB954" s="61" t="n"/>
      <c r="AC954" s="61" t="n"/>
      <c r="AD954" s="61" t="n"/>
      <c r="AE954" s="61" t="n"/>
      <c r="AF954" s="61" t="n"/>
      <c r="AG954" s="61" t="n"/>
      <c r="AH954" s="61" t="n"/>
    </row>
    <row r="955" ht="15.75" customHeight="1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  <c r="N955" s="61" t="n"/>
      <c r="O955" s="61" t="n"/>
      <c r="P955" s="61" t="n"/>
      <c r="Q955" s="61" t="n"/>
      <c r="R955" s="61" t="n"/>
      <c r="S955" s="61" t="n"/>
      <c r="T955" s="61" t="n"/>
      <c r="U955" s="61" t="n"/>
      <c r="V955" s="61" t="n"/>
      <c r="W955" s="61" t="n"/>
      <c r="X955" s="61" t="n"/>
      <c r="Y955" s="61" t="n"/>
      <c r="Z955" s="61" t="n"/>
      <c r="AA955" s="61" t="n"/>
      <c r="AB955" s="61" t="n"/>
      <c r="AC955" s="61" t="n"/>
      <c r="AD955" s="61" t="n"/>
      <c r="AE955" s="61" t="n"/>
      <c r="AF955" s="61" t="n"/>
      <c r="AG955" s="61" t="n"/>
      <c r="AH955" s="61" t="n"/>
    </row>
    <row r="956" ht="15.75" customHeight="1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  <c r="N956" s="61" t="n"/>
      <c r="O956" s="61" t="n"/>
      <c r="P956" s="61" t="n"/>
      <c r="Q956" s="61" t="n"/>
      <c r="R956" s="61" t="n"/>
      <c r="S956" s="61" t="n"/>
      <c r="T956" s="61" t="n"/>
      <c r="U956" s="61" t="n"/>
      <c r="V956" s="61" t="n"/>
      <c r="W956" s="61" t="n"/>
      <c r="X956" s="61" t="n"/>
      <c r="Y956" s="61" t="n"/>
      <c r="Z956" s="61" t="n"/>
      <c r="AA956" s="61" t="n"/>
      <c r="AB956" s="61" t="n"/>
      <c r="AC956" s="61" t="n"/>
      <c r="AD956" s="61" t="n"/>
      <c r="AE956" s="61" t="n"/>
      <c r="AF956" s="61" t="n"/>
      <c r="AG956" s="61" t="n"/>
      <c r="AH956" s="61" t="n"/>
    </row>
    <row r="957" ht="15.75" customHeight="1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  <c r="N957" s="61" t="n"/>
      <c r="O957" s="61" t="n"/>
      <c r="P957" s="61" t="n"/>
      <c r="Q957" s="61" t="n"/>
      <c r="R957" s="61" t="n"/>
      <c r="S957" s="61" t="n"/>
      <c r="T957" s="61" t="n"/>
      <c r="U957" s="61" t="n"/>
      <c r="V957" s="61" t="n"/>
      <c r="W957" s="61" t="n"/>
      <c r="X957" s="61" t="n"/>
      <c r="Y957" s="61" t="n"/>
      <c r="Z957" s="61" t="n"/>
      <c r="AA957" s="61" t="n"/>
      <c r="AB957" s="61" t="n"/>
      <c r="AC957" s="61" t="n"/>
      <c r="AD957" s="61" t="n"/>
      <c r="AE957" s="61" t="n"/>
      <c r="AF957" s="61" t="n"/>
      <c r="AG957" s="61" t="n"/>
      <c r="AH957" s="61" t="n"/>
    </row>
    <row r="958" ht="15.75" customHeight="1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  <c r="N958" s="61" t="n"/>
      <c r="O958" s="61" t="n"/>
      <c r="P958" s="61" t="n"/>
      <c r="Q958" s="61" t="n"/>
      <c r="R958" s="61" t="n"/>
      <c r="S958" s="61" t="n"/>
      <c r="T958" s="61" t="n"/>
      <c r="U958" s="61" t="n"/>
      <c r="V958" s="61" t="n"/>
      <c r="W958" s="61" t="n"/>
      <c r="X958" s="61" t="n"/>
      <c r="Y958" s="61" t="n"/>
      <c r="Z958" s="61" t="n"/>
      <c r="AA958" s="61" t="n"/>
      <c r="AB958" s="61" t="n"/>
      <c r="AC958" s="61" t="n"/>
      <c r="AD958" s="61" t="n"/>
      <c r="AE958" s="61" t="n"/>
      <c r="AF958" s="61" t="n"/>
      <c r="AG958" s="61" t="n"/>
      <c r="AH958" s="61" t="n"/>
    </row>
    <row r="959" ht="15.75" customHeight="1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  <c r="N959" s="61" t="n"/>
      <c r="O959" s="61" t="n"/>
      <c r="P959" s="61" t="n"/>
      <c r="Q959" s="61" t="n"/>
      <c r="R959" s="61" t="n"/>
      <c r="S959" s="61" t="n"/>
      <c r="T959" s="61" t="n"/>
      <c r="U959" s="61" t="n"/>
      <c r="V959" s="61" t="n"/>
      <c r="W959" s="61" t="n"/>
      <c r="X959" s="61" t="n"/>
      <c r="Y959" s="61" t="n"/>
      <c r="Z959" s="61" t="n"/>
      <c r="AA959" s="61" t="n"/>
      <c r="AB959" s="61" t="n"/>
      <c r="AC959" s="61" t="n"/>
      <c r="AD959" s="61" t="n"/>
      <c r="AE959" s="61" t="n"/>
      <c r="AF959" s="61" t="n"/>
      <c r="AG959" s="61" t="n"/>
      <c r="AH959" s="6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REQUEST FOR QUOTE - APC FILIGREE PRECAST SYSTEM</t>
        </is>
      </c>
    </row>
    <row r="2">
      <c r="A2" t="inlineStr">
        <is>
          <t>NEVO Tower - 1580 79th St Causeway, North Bay Village, FL</t>
        </is>
      </c>
    </row>
    <row r="3">
      <c r="A3" t="inlineStr">
        <is>
          <t>Total Project: 108,675 GSF | 7 Stories + Rooftop | 50 Residential Units</t>
        </is>
      </c>
    </row>
    <row r="4">
      <c r="A4" s="97" t="inlineStr">
        <is>
          <t>Aerial Precast Concrete Composite Deck System</t>
        </is>
      </c>
    </row>
    <row r="6">
      <c r="A6" s="18" t="inlineStr">
        <is>
          <t>PROJECT OVERVIEW</t>
        </is>
      </c>
    </row>
    <row r="8">
      <c r="A8" s="17" t="inlineStr">
        <is>
          <t>Building Type:</t>
        </is>
      </c>
      <c r="B8" t="inlineStr">
        <is>
          <t>Mixed-use residential tower</t>
        </is>
      </c>
    </row>
    <row r="9">
      <c r="A9" s="17" t="inlineStr">
        <is>
          <t>Stories:</t>
        </is>
      </c>
      <c r="B9" t="inlineStr">
        <is>
          <t>7 stories + rooftop</t>
        </is>
      </c>
    </row>
    <row r="10">
      <c r="A10" s="17" t="inlineStr">
        <is>
          <t>Total Area:</t>
        </is>
      </c>
      <c r="B10" t="inlineStr">
        <is>
          <t>108,675 GSF</t>
        </is>
      </c>
    </row>
    <row r="11">
      <c r="A11" s="17" t="inlineStr">
        <is>
          <t>Structural System:</t>
        </is>
      </c>
      <c r="B11" t="inlineStr">
        <is>
          <t>APC Filigree Composite Precast Deck</t>
        </is>
      </c>
    </row>
    <row r="12">
      <c r="A12" s="17" t="inlineStr">
        <is>
          <t>Construction Duration:</t>
        </is>
      </c>
      <c r="B12" t="inlineStr">
        <is>
          <t>18 months (vs 24 traditional)</t>
        </is>
      </c>
    </row>
    <row r="13">
      <c r="A13" s="17" t="inlineStr">
        <is>
          <t>Labor Reduction:</t>
        </is>
      </c>
      <c r="B13" t="inlineStr">
        <is>
          <t>30-40% vs traditional PT</t>
        </is>
      </c>
    </row>
    <row r="15">
      <c r="A15" s="18" t="inlineStr">
        <is>
          <t>APC FILIGREE SYSTEM BENEFITS</t>
        </is>
      </c>
    </row>
    <row r="17">
      <c r="A17" s="98" t="inlineStr">
        <is>
          <t>✓ Semi-precast system reduces on-site labor by 30-40%</t>
        </is>
      </c>
    </row>
    <row r="18">
      <c r="A18" s="98" t="inlineStr">
        <is>
          <t>✓ Eliminates traditional formwork and shoring</t>
        </is>
      </c>
    </row>
    <row r="19">
      <c r="A19" s="98" t="inlineStr">
        <is>
          <t>✓ Faster construction schedule (25% time savings)</t>
        </is>
      </c>
    </row>
    <row r="20">
      <c r="A20" s="98" t="inlineStr">
        <is>
          <t>✓ MEP conduits/pipes embedded between precast and topping slab</t>
        </is>
      </c>
    </row>
    <row r="21">
      <c r="A21" s="98" t="inlineStr">
        <is>
          <t>✓ 10% savings on electrical and plumbing (pre-laid before pour)</t>
        </is>
      </c>
    </row>
    <row r="22">
      <c r="A22" s="98" t="inlineStr">
        <is>
          <t>✓ Improved quality control (factory fabrication)</t>
        </is>
      </c>
    </row>
    <row r="23">
      <c r="A23" s="98" t="inlineStr">
        <is>
          <t>✓ Reduced concrete waste and material costs</t>
        </is>
      </c>
    </row>
    <row r="24">
      <c r="A24" s="98" t="inlineStr">
        <is>
          <t>✓ Integrated structural steel support system</t>
        </is>
      </c>
    </row>
    <row r="25">
      <c r="A25" s="98" t="inlineStr">
        <is>
          <t>✓ Fire-rated and code-compliant</t>
        </is>
      </c>
    </row>
    <row r="26">
      <c r="A26" s="98" t="inlineStr">
        <is>
          <t>✓ Suitable for high-rise construction</t>
        </is>
      </c>
    </row>
    <row r="28">
      <c r="A28" s="18" t="inlineStr">
        <is>
          <t>SCOPE OF WORK - APC FILIGREE SYSTEM</t>
        </is>
      </c>
    </row>
    <row r="29">
      <c r="A29" s="18" t="inlineStr">
        <is>
          <t>Item</t>
        </is>
      </c>
      <c r="B29" s="18" t="inlineStr">
        <is>
          <t>Description</t>
        </is>
      </c>
      <c r="C29" s="18" t="inlineStr">
        <is>
          <t>Quantity</t>
        </is>
      </c>
      <c r="D29" s="18" t="inlineStr">
        <is>
          <t>Unit</t>
        </is>
      </c>
      <c r="E29" s="18" t="inlineStr">
        <is>
          <t>Unit Price</t>
        </is>
      </c>
      <c r="F29" s="18" t="inlineStr">
        <is>
          <t>Total</t>
        </is>
      </c>
      <c r="G29" s="18" t="inlineStr">
        <is>
          <t>Notes</t>
        </is>
      </c>
    </row>
    <row r="30">
      <c r="A30" t="inlineStr">
        <is>
          <t>1</t>
        </is>
      </c>
      <c r="B30" t="inlineStr">
        <is>
          <t>APC Filigree Deck Panels</t>
        </is>
      </c>
      <c r="C30" s="99" t="n">
        <v>108675</v>
      </c>
      <c r="D30" t="inlineStr">
        <is>
          <t>SF</t>
        </is>
      </c>
      <c r="E30" s="9" t="n">
        <v>28.5</v>
      </c>
      <c r="F30" s="3">
        <f>C30*E30</f>
        <v/>
      </c>
      <c r="G30" t="inlineStr">
        <is>
          <t>Factory fabricated</t>
        </is>
      </c>
    </row>
    <row r="31">
      <c r="A31" t="inlineStr">
        <is>
          <t>2</t>
        </is>
      </c>
      <c r="B31" t="inlineStr">
        <is>
          <t>Structural Steel Integration</t>
        </is>
      </c>
      <c r="C31" s="99" t="n">
        <v>108675</v>
      </c>
      <c r="D31" t="inlineStr">
        <is>
          <t>SF</t>
        </is>
      </c>
      <c r="E31" s="9" t="n">
        <v>3.08</v>
      </c>
      <c r="F31" s="3">
        <f>C31*E31</f>
        <v/>
      </c>
      <c r="G31" t="inlineStr">
        <is>
          <t>Embedded supports</t>
        </is>
      </c>
    </row>
    <row r="32">
      <c r="A32" t="inlineStr">
        <is>
          <t>3</t>
        </is>
      </c>
      <c r="B32" t="inlineStr">
        <is>
          <t>MEP Conduit/Pipe Pre-Lay</t>
        </is>
      </c>
      <c r="C32" s="99" t="n">
        <v>108675</v>
      </c>
      <c r="D32" t="inlineStr">
        <is>
          <t>SF</t>
        </is>
      </c>
      <c r="E32" s="9" t="n">
        <v>0.75</v>
      </c>
      <c r="F32" s="3">
        <f>C32*E32</f>
        <v/>
      </c>
      <c r="G32" t="inlineStr">
        <is>
          <t>Before topping pour</t>
        </is>
      </c>
    </row>
    <row r="33">
      <c r="A33" t="inlineStr">
        <is>
          <t>4</t>
        </is>
      </c>
      <c r="B33" t="inlineStr">
        <is>
          <t>Topping Concrete</t>
        </is>
      </c>
      <c r="C33" s="99" t="n">
        <v>27168.75</v>
      </c>
      <c r="D33" t="inlineStr">
        <is>
          <t>CY</t>
        </is>
      </c>
      <c r="E33" s="9" t="n">
        <v>200</v>
      </c>
      <c r="F33" s="3">
        <f>C33*E33</f>
        <v/>
      </c>
      <c r="G33" t="inlineStr">
        <is>
          <t>3" topping slab</t>
        </is>
      </c>
    </row>
    <row r="34">
      <c r="A34" t="inlineStr">
        <is>
          <t>5</t>
        </is>
      </c>
      <c r="B34" t="inlineStr">
        <is>
          <t>Panel Installation Labor</t>
        </is>
      </c>
      <c r="C34" s="99" t="n">
        <v>108675</v>
      </c>
      <c r="D34" t="inlineStr">
        <is>
          <t>SF</t>
        </is>
      </c>
      <c r="E34" s="9" t="n">
        <v>2.5</v>
      </c>
      <c r="F34" s="3">
        <f>C34*E34</f>
        <v/>
      </c>
      <c r="G34" t="inlineStr">
        <is>
          <t>Crane &amp; crew</t>
        </is>
      </c>
    </row>
    <row r="35">
      <c r="A35" t="inlineStr">
        <is>
          <t>6</t>
        </is>
      </c>
      <c r="B35" t="inlineStr">
        <is>
          <t>Shoring (minimal)</t>
        </is>
      </c>
      <c r="C35" s="99" t="n">
        <v>21735</v>
      </c>
      <c r="D35" t="inlineStr">
        <is>
          <t>SF</t>
        </is>
      </c>
      <c r="E35" s="9" t="n">
        <v>1.5</v>
      </c>
      <c r="F35" s="3">
        <f>C35*E35</f>
        <v/>
      </c>
      <c r="G35" t="inlineStr">
        <is>
          <t>Temporary only</t>
        </is>
      </c>
    </row>
    <row r="36">
      <c r="A36" t="inlineStr">
        <is>
          <t>7</t>
        </is>
      </c>
      <c r="B36" t="inlineStr">
        <is>
          <t>Connections &amp; Anchors</t>
        </is>
      </c>
      <c r="C36" s="99" t="n">
        <v>350</v>
      </c>
      <c r="D36" t="inlineStr">
        <is>
          <t>EA</t>
        </is>
      </c>
      <c r="E36" s="9" t="n">
        <v>250</v>
      </c>
      <c r="F36" s="3">
        <f>C36*E36</f>
        <v/>
      </c>
      <c r="G36" t="inlineStr">
        <is>
          <t>Per floor connections</t>
        </is>
      </c>
    </row>
    <row r="37">
      <c r="A37" t="inlineStr">
        <is>
          <t>8</t>
        </is>
      </c>
      <c r="B37" t="inlineStr">
        <is>
          <t>Engineering &amp; Shop Drawings</t>
        </is>
      </c>
      <c r="C37" s="99" t="n">
        <v>1</v>
      </c>
      <c r="D37" t="inlineStr">
        <is>
          <t>LS</t>
        </is>
      </c>
      <c r="E37" s="9" t="n">
        <v>45000</v>
      </c>
      <c r="F37" s="3">
        <f>C37*E37</f>
        <v/>
      </c>
      <c r="G37" t="inlineStr">
        <is>
          <t>Structural PE</t>
        </is>
      </c>
    </row>
    <row r="38">
      <c r="A38" t="inlineStr">
        <is>
          <t>9</t>
        </is>
      </c>
      <c r="B38" t="inlineStr">
        <is>
          <t>Transportation &amp; Delivery</t>
        </is>
      </c>
      <c r="C38" s="99" t="n">
        <v>108.675</v>
      </c>
      <c r="D38" t="inlineStr">
        <is>
          <t>Loads</t>
        </is>
      </c>
      <c r="E38" s="9" t="n">
        <v>2500</v>
      </c>
      <c r="F38" s="3">
        <f>C38*E38</f>
        <v/>
      </c>
      <c r="G38" t="inlineStr">
        <is>
          <t>Per truck</t>
        </is>
      </c>
    </row>
    <row r="39">
      <c r="A39" t="inlineStr">
        <is>
          <t>10</t>
        </is>
      </c>
      <c r="B39" t="inlineStr">
        <is>
          <t>Crane Time</t>
        </is>
      </c>
      <c r="C39" s="99" t="n">
        <v>90</v>
      </c>
      <c r="D39" t="inlineStr">
        <is>
          <t>Days</t>
        </is>
      </c>
      <c r="E39" s="9" t="n">
        <v>1200</v>
      </c>
      <c r="F39" s="3">
        <f>C39*E39</f>
        <v/>
      </c>
      <c r="G39" t="inlineStr">
        <is>
          <t>Tower crane rental</t>
        </is>
      </c>
    </row>
    <row r="40">
      <c r="A40" t="inlineStr">
        <is>
          <t>11</t>
        </is>
      </c>
      <c r="B40" t="inlineStr">
        <is>
          <t>Quality Control &amp; Testing</t>
        </is>
      </c>
      <c r="C40" s="99" t="n">
        <v>1</v>
      </c>
      <c r="D40" t="inlineStr">
        <is>
          <t>LS</t>
        </is>
      </c>
      <c r="E40" s="9" t="n">
        <v>25000</v>
      </c>
      <c r="F40" s="3">
        <f>C40*E40</f>
        <v/>
      </c>
      <c r="G40" t="inlineStr">
        <is>
          <t>Third party</t>
        </is>
      </c>
    </row>
    <row r="41">
      <c r="B41" s="17" t="inlineStr">
        <is>
          <t>SUBTOTAL</t>
        </is>
      </c>
      <c r="F41" s="24">
        <f>SUM(F30:F40)</f>
        <v/>
      </c>
    </row>
    <row r="43">
      <c r="A43" s="18" t="inlineStr">
        <is>
          <t>CONSTRUCTION SCHEDULE</t>
        </is>
      </c>
    </row>
    <row r="45">
      <c r="A45" s="17" t="inlineStr">
        <is>
          <t>Phase 1</t>
        </is>
      </c>
      <c r="B45" t="inlineStr">
        <is>
          <t>Shop Drawings &amp; Fabrication</t>
        </is>
      </c>
      <c r="E45" s="17" t="inlineStr">
        <is>
          <t>2 months</t>
        </is>
      </c>
      <c r="F45" t="inlineStr">
        <is>
          <t>Before on-site work</t>
        </is>
      </c>
    </row>
    <row r="46">
      <c r="A46" s="17" t="inlineStr">
        <is>
          <t>Phase 2</t>
        </is>
      </c>
      <c r="B46" t="inlineStr">
        <is>
          <t>Foundation &amp; Columns</t>
        </is>
      </c>
      <c r="E46" s="17" t="inlineStr">
        <is>
          <t>3 months</t>
        </is>
      </c>
      <c r="F46" t="inlineStr">
        <is>
          <t>Concurrent with fabrication</t>
        </is>
      </c>
    </row>
    <row r="47">
      <c r="A47" s="17" t="inlineStr">
        <is>
          <t>Phase 3</t>
        </is>
      </c>
      <c r="B47" t="inlineStr">
        <is>
          <t>Deck Installation (7 floors)</t>
        </is>
      </c>
      <c r="E47" s="17" t="inlineStr">
        <is>
          <t>9 months</t>
        </is>
      </c>
      <c r="F47" t="inlineStr">
        <is>
          <t>1.3 months per floor</t>
        </is>
      </c>
    </row>
    <row r="48">
      <c r="A48" s="17" t="inlineStr">
        <is>
          <t>Phase 4</t>
        </is>
      </c>
      <c r="B48" t="inlineStr">
        <is>
          <t>MEP &amp; Finishes</t>
        </is>
      </c>
      <c r="E48" s="17" t="inlineStr">
        <is>
          <t>4 months</t>
        </is>
      </c>
      <c r="F48" t="inlineStr">
        <is>
          <t>25% overlap with structure</t>
        </is>
      </c>
    </row>
    <row r="49">
      <c r="A49" s="17" t="inlineStr">
        <is>
          <t>Total Duration</t>
        </is>
      </c>
      <c r="B49" t="inlineStr">
        <is>
          <t>Ground to CO</t>
        </is>
      </c>
      <c r="E49" s="17" t="inlineStr">
        <is>
          <t>18 months</t>
        </is>
      </c>
      <c r="F49" t="inlineStr">
        <is>
          <t>6 months faster than traditional</t>
        </is>
      </c>
    </row>
    <row r="51">
      <c r="A51" s="18" t="inlineStr">
        <is>
          <t>SUBMITTAL REQUIREMENTS</t>
        </is>
      </c>
    </row>
    <row r="53">
      <c r="A53" t="inlineStr">
        <is>
          <t>1. Complete project pricing breakdown</t>
        </is>
      </c>
    </row>
    <row r="54">
      <c r="A54" t="inlineStr">
        <is>
          <t>2. Shop drawings and engineering calculations</t>
        </is>
      </c>
    </row>
    <row r="55">
      <c r="A55" t="inlineStr">
        <is>
          <t>3. Product data sheets and specifications</t>
        </is>
      </c>
    </row>
    <row r="56">
      <c r="A56" t="inlineStr">
        <is>
          <t>4. Quality control procedures</t>
        </is>
      </c>
    </row>
    <row r="57">
      <c r="A57" t="inlineStr">
        <is>
          <t>5. Installation schedule and sequence</t>
        </is>
      </c>
    </row>
    <row r="58">
      <c r="A58" t="inlineStr">
        <is>
          <t>6. Crane and equipment requirements</t>
        </is>
      </c>
    </row>
    <row r="59">
      <c r="A59" t="inlineStr">
        <is>
          <t>7. Testing and inspection protocols</t>
        </is>
      </c>
    </row>
    <row r="60">
      <c r="A60" t="inlineStr">
        <is>
          <t>8. Warranty information (minimum 2 years)</t>
        </is>
      </c>
    </row>
    <row r="61">
      <c r="A61" t="inlineStr">
        <is>
          <t>9. References from similar high-rise projects</t>
        </is>
      </c>
    </row>
    <row r="62">
      <c r="A62" t="inlineStr">
        <is>
          <t>10. Insurance certificates</t>
        </is>
      </c>
    </row>
  </sheetData>
  <mergeCells count="45">
    <mergeCell ref="B11:D11"/>
    <mergeCell ref="A15:H15"/>
    <mergeCell ref="A59:H59"/>
    <mergeCell ref="F45:H45"/>
    <mergeCell ref="A24:H24"/>
    <mergeCell ref="B8:D8"/>
    <mergeCell ref="A51:H51"/>
    <mergeCell ref="A60:H60"/>
    <mergeCell ref="B13:D13"/>
    <mergeCell ref="A1:H1"/>
    <mergeCell ref="A61:H61"/>
    <mergeCell ref="A6:H6"/>
    <mergeCell ref="F47:H47"/>
    <mergeCell ref="B10:D10"/>
    <mergeCell ref="F46:H46"/>
    <mergeCell ref="A25:H25"/>
    <mergeCell ref="A54:H54"/>
    <mergeCell ref="B49:D49"/>
    <mergeCell ref="B9:D9"/>
    <mergeCell ref="F48:H48"/>
    <mergeCell ref="A18:H18"/>
    <mergeCell ref="A56:H56"/>
    <mergeCell ref="A3:H3"/>
    <mergeCell ref="A21:H21"/>
    <mergeCell ref="A26:H26"/>
    <mergeCell ref="A55:H55"/>
    <mergeCell ref="B45:D45"/>
    <mergeCell ref="F49:H49"/>
    <mergeCell ref="A57:H57"/>
    <mergeCell ref="A2:H2"/>
    <mergeCell ref="A23:H23"/>
    <mergeCell ref="B47:D47"/>
    <mergeCell ref="A22:H22"/>
    <mergeCell ref="A17:H17"/>
    <mergeCell ref="A4:H4"/>
    <mergeCell ref="A62:H62"/>
    <mergeCell ref="A53:H53"/>
    <mergeCell ref="B46:D46"/>
    <mergeCell ref="A20:H20"/>
    <mergeCell ref="A43:H43"/>
    <mergeCell ref="A28:H28"/>
    <mergeCell ref="A19:H19"/>
    <mergeCell ref="A58:H58"/>
    <mergeCell ref="B12:D12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2025-11-06T08:56:25Z</dcterms:created>
  <dcterms:modified xsi:type="dcterms:W3CDTF">2025-11-06T09:06:47Z</dcterms:modified>
</cp:coreProperties>
</file>