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Hard Costs - Simplified" sheetId="3" state="visible" r:id="rId3"/>
    <sheet name="Hard Costs" sheetId="4" state="visible" r:id="rId4"/>
    <sheet name="Soft Costs" sheetId="5" state="visible" r:id="rId5"/>
    <sheet name="Revenue" sheetId="6" state="visible" r:id="rId6"/>
    <sheet name="Project Deal Structure" sheetId="7" state="visible" r:id="rId7"/>
    <sheet name="24-Month Cash Flow" sheetId="8" state="visible" r:id="rId8"/>
    <sheet name="GC RFQ Summary" sheetId="9" state="visible" r:id="rId9"/>
    <sheet name="Sync Instructions" sheetId="10" state="visible" r:id="rId10"/>
    <sheet name="Measurements 50" sheetId="11" state="visible" r:id="rId11"/>
  </sheets>
  <definedNames>
    <definedName name="TotalProjectCost">Summary!$B$8</definedName>
    <definedName name="GrossProfit">Summary!$B$14</definedName>
    <definedName name="TotalNSF">Assumptions!$B$6</definedName>
    <definedName name="LandPartner_Land">Assumptions!$B$11</definedName>
    <definedName name="LandPartner_Cash1">Assumptions!$B$12</definedName>
    <definedName name="LandPartner_Cash2">Assumptions!$B$13</definedName>
    <definedName name="LandPartner_Deferred">Assumptions!$B$14</definedName>
    <definedName name="GC_OHP">Assumptions!$B$18</definedName>
    <definedName name="GC_GC">Assumptions!$B$19</definedName>
    <definedName name="Design_Cont">Assumptions!$B$20</definedName>
    <definedName name="Constr_Cont">Assumptions!$B$21</definedName>
    <definedName name="Owner_Cont">Assumptions!$B$22</definedName>
    <definedName name="AE_Rate">Assumptions!$B$23</definedName>
    <definedName name="Marketing_Rate">Assumptions!$B$24</definedName>
    <definedName name="Finance_Rate">Assumptions!$B$25</definedName>
    <definedName name="LTC">Assumptions!$B$26</definedName>
    <definedName name="Duration">Assumptions!$B$27</definedName>
    <definedName name="TotalGSF">Assumptions!$B$5</definedName>
    <definedName name="ConstructionSubtotal">'Hard Costs'!$E$27</definedName>
    <definedName name="TotalHardCosts">'Hard Costs'!$E$38</definedName>
    <definedName name="TotalInKindCosts">'Soft Costs'!$B$10</definedName>
    <definedName name="TotalCashSoftCosts">'Soft Costs'!$B$19</definedName>
    <definedName name="TotalSoftCosts">'Soft Costs'!$B$25</definedName>
    <definedName name="TotalRevenue">'Revenue'!$F$9</definedName>
    <definedName name="Synagogue_Cost">'Revenue'!$F$7</definedName>
    <definedName name="TotalFinancingCosts">'24-Month Cash Flow'!$B$33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$#,##0.00"/>
    <numFmt numFmtId="167" formatCode="&quot;$&quot;#,##0"/>
    <numFmt numFmtId="168" formatCode="#,##0.0"/>
  </numFmts>
  <fonts count="2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  <sz val="12"/>
    </font>
    <font>
      <b val="1"/>
    </font>
    <font>
      <b val="1"/>
      <sz val="14"/>
    </font>
    <font>
      <b val="1"/>
      <color rgb="00FFFFFF"/>
      <sz val="12"/>
    </font>
    <font>
      <b val="1"/>
      <color rgb="00FFFFFF"/>
    </font>
    <font>
      <b val="1"/>
      <sz val="11"/>
    </font>
    <font>
      <i val="1"/>
    </font>
    <font>
      <b val="1"/>
      <color rgb="00FF0000"/>
    </font>
    <font>
      <b val="1"/>
      <color rgb="00008000"/>
      <sz val="12"/>
    </font>
    <font>
      <b val="1"/>
      <color rgb="00FF0000"/>
      <sz val="12"/>
    </font>
    <font>
      <b val="1"/>
      <color rgb="000000FF"/>
      <sz val="12"/>
    </font>
    <font>
      <b val="1"/>
      <color rgb="00008000"/>
      <sz val="14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theme="1"/>
      <sz val="10"/>
    </font>
    <font>
      <name val="Arial"/>
      <b val="1"/>
      <color theme="1"/>
      <sz val="9"/>
    </font>
    <font>
      <name val="Arial"/>
      <b val="1"/>
      <color theme="1"/>
      <sz val="12"/>
    </font>
    <font>
      <name val="Arial"/>
      <color theme="1"/>
      <sz val="12"/>
    </font>
    <font>
      <name val="Arial"/>
      <color theme="1"/>
    </font>
    <font>
      <name val="Arial"/>
      <b val="1"/>
      <color theme="1"/>
      <scheme val="minor"/>
    </font>
    <font>
      <name val="Arial"/>
      <color theme="1"/>
      <sz val="11"/>
    </font>
    <font>
      <name val="Arial"/>
      <b val="1"/>
      <color theme="1"/>
      <sz val="14"/>
    </font>
    <font>
      <name val="Arial"/>
      <b val="1"/>
      <color theme="1"/>
    </font>
    <font>
      <i val="1"/>
      <sz val="9"/>
    </font>
  </fonts>
  <fills count="13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E6F3FF"/>
        <bgColor rgb="00E6F3FF"/>
      </patternFill>
    </fill>
    <fill>
      <patternFill patternType="solid">
        <fgColor rgb="00FFE6E6"/>
        <bgColor rgb="00FFE6E6"/>
      </patternFill>
    </fill>
    <fill>
      <patternFill patternType="solid">
        <fgColor rgb="00FFFFCC"/>
        <bgColor rgb="00FFFFCC"/>
      </patternFill>
    </fill>
    <fill>
      <patternFill patternType="solid">
        <fgColor rgb="00FFFF00"/>
        <bgColor rgb="00FFFF00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</fills>
  <borders count="3">
    <border>
      <left/>
      <right/>
      <top/>
      <bottom/>
      <diagonal/>
    </border>
    <border/>
    <border>
      <right/>
      <bottom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3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3" fillId="5" borderId="0" pivotButton="0" quotePrefix="0" xfId="0"/>
    <xf numFmtId="0" fontId="4" fillId="0" borderId="0" pivotButton="0" quotePrefix="0" xfId="0"/>
    <xf numFmtId="0" fontId="7" fillId="2" borderId="0" pivotButton="0" quotePrefix="0" xfId="0"/>
    <xf numFmtId="166" fontId="0" fillId="4" borderId="0" pivotButton="0" quotePrefix="0" xfId="0"/>
    <xf numFmtId="164" fontId="0" fillId="6" borderId="0" pivotButton="0" quotePrefix="0" xfId="0"/>
    <xf numFmtId="166" fontId="4" fillId="0" borderId="0" pivotButton="0" quotePrefix="0" xfId="0"/>
    <xf numFmtId="0" fontId="8" fillId="7" borderId="0" pivotButton="0" quotePrefix="0" xfId="0"/>
    <xf numFmtId="0" fontId="0" fillId="7" borderId="0" pivotButton="0" quotePrefix="0" xfId="0"/>
    <xf numFmtId="164" fontId="4" fillId="6" borderId="0" pivotButton="0" quotePrefix="0" xfId="0"/>
    <xf numFmtId="0" fontId="8" fillId="8" borderId="0" pivotButton="0" quotePrefix="0" xfId="0"/>
    <xf numFmtId="0" fontId="0" fillId="8" borderId="0" pivotButton="0" quotePrefix="0" xfId="0"/>
    <xf numFmtId="0" fontId="8" fillId="9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10" borderId="0" pivotButton="0" quotePrefix="0" xfId="0"/>
    <xf numFmtId="0" fontId="0" fillId="5" borderId="0" pivotButton="0" quotePrefix="0" xfId="0"/>
    <xf numFmtId="0" fontId="10" fillId="0" borderId="0" pivotButton="0" quotePrefix="0" xfId="0"/>
    <xf numFmtId="0" fontId="0" fillId="10" borderId="0" pivotButton="0" quotePrefix="0" xfId="0"/>
    <xf numFmtId="0" fontId="0" fillId="3" borderId="0" pivotButton="0" quotePrefix="0" xfId="0"/>
    <xf numFmtId="0" fontId="11" fillId="10" borderId="0" pivotButton="0" quotePrefix="0" xfId="0"/>
    <xf numFmtId="164" fontId="0" fillId="10" borderId="0" pivotButton="0" quotePrefix="0" xfId="0"/>
    <xf numFmtId="164" fontId="0" fillId="5" borderId="0" pivotButton="0" quotePrefix="0" xfId="0"/>
    <xf numFmtId="0" fontId="12" fillId="0" borderId="0" pivotButton="0" quotePrefix="0" xfId="0"/>
    <xf numFmtId="164" fontId="3" fillId="10" borderId="0" pivotButton="0" quotePrefix="0" xfId="0"/>
    <xf numFmtId="0" fontId="13" fillId="0" borderId="0" pivotButton="0" quotePrefix="0" xfId="0"/>
    <xf numFmtId="9" fontId="0" fillId="0" borderId="0" pivotButton="0" quotePrefix="0" xfId="0"/>
    <xf numFmtId="3" fontId="0" fillId="6" borderId="0" pivotButton="0" quotePrefix="0" xfId="0"/>
    <xf numFmtId="3" fontId="4" fillId="3" borderId="0" pivotButton="0" quotePrefix="0" xfId="0"/>
    <xf numFmtId="3" fontId="4" fillId="0" borderId="0" pivotButton="0" quotePrefix="0" xfId="0"/>
    <xf numFmtId="0" fontId="14" fillId="0" borderId="0" pivotButton="0" quotePrefix="0" xfId="0"/>
    <xf numFmtId="0" fontId="15" fillId="0" borderId="1" applyAlignment="1" pivotButton="0" quotePrefix="0" xfId="0">
      <alignment horizontal="center"/>
    </xf>
    <xf numFmtId="1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 wrapText="1"/>
    </xf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3" fontId="17" fillId="0" borderId="1" applyAlignment="1" pivotButton="0" quotePrefix="0" xfId="0">
      <alignment horizontal="center"/>
    </xf>
    <xf numFmtId="3" fontId="17" fillId="0" borderId="1" pivotButton="0" quotePrefix="0" xfId="0"/>
    <xf numFmtId="165" fontId="18" fillId="0" borderId="1" applyAlignment="1" pivotButton="0" quotePrefix="0" xfId="0">
      <alignment horizontal="center"/>
    </xf>
    <xf numFmtId="1" fontId="17" fillId="0" borderId="1" pivotButton="0" quotePrefix="0" xfId="0"/>
    <xf numFmtId="0" fontId="17" fillId="0" borderId="1" pivotButton="0" quotePrefix="0" xfId="0"/>
    <xf numFmtId="167" fontId="17" fillId="0" borderId="1" pivotButton="0" quotePrefix="0" xfId="0"/>
    <xf numFmtId="0" fontId="19" fillId="0" borderId="1" applyAlignment="1" pivotButton="0" quotePrefix="0" xfId="0">
      <alignment horizontal="center"/>
    </xf>
    <xf numFmtId="168" fontId="19" fillId="0" borderId="1" applyAlignment="1" pivotButton="0" quotePrefix="0" xfId="0">
      <alignment horizontal="center"/>
    </xf>
    <xf numFmtId="0" fontId="20" fillId="0" borderId="1" pivotButton="0" quotePrefix="0" xfId="0"/>
    <xf numFmtId="3" fontId="19" fillId="0" borderId="1" applyAlignment="1" pivotButton="0" quotePrefix="0" xfId="0">
      <alignment horizontal="center"/>
    </xf>
    <xf numFmtId="0" fontId="21" fillId="0" borderId="1" pivotButton="0" quotePrefix="0" xfId="0"/>
    <xf numFmtId="3" fontId="15" fillId="0" borderId="1" applyAlignment="1" pivotButton="0" quotePrefix="0" xfId="0">
      <alignment horizontal="center"/>
    </xf>
    <xf numFmtId="167" fontId="15" fillId="0" borderId="1" applyAlignment="1" pivotButton="0" quotePrefix="0" xfId="0">
      <alignment horizontal="center"/>
    </xf>
    <xf numFmtId="167" fontId="22" fillId="0" borderId="1" pivotButton="0" quotePrefix="0" xfId="0"/>
    <xf numFmtId="165" fontId="15" fillId="0" borderId="1" applyAlignment="1" pivotButton="0" quotePrefix="0" xfId="0">
      <alignment horizontal="center"/>
    </xf>
    <xf numFmtId="0" fontId="16" fillId="0" borderId="1" pivotButton="0" quotePrefix="0" xfId="0"/>
    <xf numFmtId="0" fontId="23" fillId="0" borderId="1" pivotButton="0" quotePrefix="0" xfId="0"/>
    <xf numFmtId="3" fontId="24" fillId="0" borderId="1" applyAlignment="1" pivotButton="0" quotePrefix="0" xfId="0">
      <alignment horizontal="center"/>
    </xf>
    <xf numFmtId="165" fontId="24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0" fontId="25" fillId="0" borderId="1" applyAlignment="1" pivotButton="0" quotePrefix="0" xfId="0">
      <alignment vertical="bottom"/>
    </xf>
    <xf numFmtId="167" fontId="25" fillId="0" borderId="1" applyAlignment="1" pivotButton="0" quotePrefix="0" xfId="0">
      <alignment vertical="bottom"/>
    </xf>
    <xf numFmtId="3" fontId="23" fillId="0" borderId="1" pivotButton="0" quotePrefix="0" xfId="0"/>
    <xf numFmtId="0" fontId="25" fillId="11" borderId="1" applyAlignment="1" pivotButton="0" quotePrefix="0" xfId="0">
      <alignment vertical="bottom" wrapText="1"/>
    </xf>
    <xf numFmtId="167" fontId="25" fillId="11" borderId="1" applyAlignment="1" pivotButton="0" quotePrefix="0" xfId="0">
      <alignment vertical="bottom" wrapText="1"/>
    </xf>
    <xf numFmtId="165" fontId="25" fillId="11" borderId="1" applyAlignment="1" pivotButton="0" quotePrefix="0" xfId="0">
      <alignment horizontal="right" vertical="bottom" wrapText="1"/>
    </xf>
    <xf numFmtId="0" fontId="25" fillId="11" borderId="1" applyAlignment="1" pivotButton="0" quotePrefix="0" xfId="0">
      <alignment vertical="bottom"/>
    </xf>
    <xf numFmtId="0" fontId="25" fillId="12" borderId="2" applyAlignment="1" pivotButton="0" quotePrefix="0" xfId="0">
      <alignment horizontal="center"/>
    </xf>
    <xf numFmtId="167" fontId="18" fillId="12" borderId="1" applyAlignment="1" pivotButton="0" quotePrefix="0" xfId="0">
      <alignment horizontal="center" wrapText="1"/>
    </xf>
    <xf numFmtId="0" fontId="21" fillId="11" borderId="1" applyAlignment="1" pivotButton="0" quotePrefix="0" xfId="0">
      <alignment vertical="bottom" wrapText="1"/>
    </xf>
    <xf numFmtId="167" fontId="21" fillId="11" borderId="1" applyAlignment="1" pivotButton="0" quotePrefix="0" xfId="0">
      <alignment vertical="bottom" wrapText="1"/>
    </xf>
    <xf numFmtId="165" fontId="21" fillId="11" borderId="1" applyAlignment="1" pivotButton="0" quotePrefix="0" xfId="0">
      <alignment wrapText="1"/>
    </xf>
    <xf numFmtId="0" fontId="21" fillId="11" borderId="1" applyAlignment="1" pivotButton="0" quotePrefix="0" xfId="0">
      <alignment vertical="bottom"/>
    </xf>
    <xf numFmtId="167" fontId="18" fillId="0" borderId="1" applyAlignment="1" pivotButton="0" quotePrefix="0" xfId="0">
      <alignment horizontal="right" wrapText="1"/>
    </xf>
    <xf numFmtId="165" fontId="18" fillId="0" borderId="1" applyAlignment="1" pivotButton="0" quotePrefix="0" xfId="0">
      <alignment horizontal="right" vertical="bottom" wrapText="1"/>
    </xf>
    <xf numFmtId="167" fontId="18" fillId="0" borderId="1" applyAlignment="1" pivotButton="0" quotePrefix="0" xfId="0">
      <alignment horizontal="center" wrapText="1"/>
    </xf>
    <xf numFmtId="9" fontId="25" fillId="11" borderId="1" applyAlignment="1" pivotButton="0" quotePrefix="0" xfId="0">
      <alignment horizontal="right" vertical="bottom" wrapText="1"/>
    </xf>
    <xf numFmtId="0" fontId="26" fillId="0" borderId="0" pivotButton="0" quotePrefix="0" xfId="0"/>
    <xf numFmtId="164" fontId="3" fillId="6" borderId="0" pivotButton="0" quotePrefix="0" xfId="0"/>
    <xf numFmtId="164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3" customWidth="1" min="3" max="3"/>
    <col width="25" customWidth="1" min="4" max="4"/>
  </cols>
  <sheetData>
    <row r="1">
      <c r="A1" s="1" t="inlineStr">
        <is>
          <t>NEVO TOWER - EXECUTIVE SUMMARY</t>
        </is>
      </c>
    </row>
    <row r="2">
      <c r="A2" t="inlineStr">
        <is>
          <t>Generated: 2025-11-06 03:56</t>
        </is>
      </c>
    </row>
    <row r="4">
      <c r="A4" s="2" t="inlineStr">
        <is>
          <t>TOTAL DEVELOPMENT COST</t>
        </is>
      </c>
    </row>
    <row r="5">
      <c r="A5" t="inlineStr">
        <is>
          <t>SC Cash Payment (Project Cost)</t>
        </is>
      </c>
      <c r="B5" s="3">
        <f>LandPartner_Cash1+LandPartner_Cash2</f>
        <v/>
      </c>
      <c r="C5" s="4">
        <f>B5/TotalProjectCost</f>
        <v/>
      </c>
    </row>
    <row r="6">
      <c r="A6" t="inlineStr">
        <is>
          <t>Hard Costs</t>
        </is>
      </c>
      <c r="B6" s="3">
        <f>TotalHardCosts</f>
        <v/>
      </c>
      <c r="C6" s="4">
        <f>TotalHardCosts/TotalProjectCost</f>
        <v/>
      </c>
    </row>
    <row r="7">
      <c r="A7" t="inlineStr">
        <is>
          <t>Soft Costs</t>
        </is>
      </c>
      <c r="B7" s="3">
        <f>TotalSoftCosts</f>
        <v/>
      </c>
      <c r="C7" s="4">
        <f>TotalSoftCosts/TotalProjectCost</f>
        <v/>
      </c>
    </row>
    <row r="8">
      <c r="A8" s="5" t="inlineStr">
        <is>
          <t>TOTAL PROJECT COST</t>
        </is>
      </c>
      <c r="B8" s="6">
        <f>SUM(B5:B7)</f>
        <v/>
      </c>
      <c r="C8" t="inlineStr">
        <is>
          <t>100.0%</t>
        </is>
      </c>
    </row>
    <row r="10">
      <c r="A10" s="2" t="inlineStr">
        <is>
          <t>REVENUE</t>
        </is>
      </c>
    </row>
    <row r="11">
      <c r="A11" t="inlineStr">
        <is>
          <t>Total Revenue</t>
        </is>
      </c>
      <c r="B11" s="6">
        <f>TotalRevenue</f>
        <v/>
      </c>
    </row>
    <row r="13">
      <c r="A13" s="2" t="inlineStr">
        <is>
          <t>PROFITABILITY</t>
        </is>
      </c>
    </row>
    <row r="14">
      <c r="A14" t="inlineStr">
        <is>
          <t>Gross Profit</t>
        </is>
      </c>
      <c r="B14" s="7">
        <f>B11-B8</f>
        <v/>
      </c>
      <c r="C14" s="4">
        <f>(B11-B8)/B11</f>
        <v/>
      </c>
    </row>
    <row r="15">
      <c r="A15" t="inlineStr">
        <is>
          <t>Profit Margin</t>
        </is>
      </c>
      <c r="B15" s="8">
        <f>B14/B11</f>
        <v/>
      </c>
    </row>
    <row r="16">
      <c r="A16" t="inlineStr">
        <is>
          <t>Return on Cost (ROI)</t>
        </is>
      </c>
      <c r="B16" s="8">
        <f>B14/B8</f>
        <v/>
      </c>
    </row>
    <row r="18">
      <c r="A18" t="inlineStr">
        <is>
          <t>Cost per Unit (50 Condos)</t>
        </is>
      </c>
      <c r="B18" s="3">
        <f>(B8-Synagogue_Cost)/50</f>
        <v/>
      </c>
      <c r="D18" t="inlineStr">
        <is>
          <t>Excluding synagogue cost</t>
        </is>
      </c>
    </row>
    <row r="19">
      <c r="A19" t="inlineStr">
        <is>
          <t>Cost per NSF</t>
        </is>
      </c>
      <c r="B19" s="9">
        <f>B8/TotalNSF</f>
        <v/>
      </c>
    </row>
    <row r="20">
      <c r="A20" t="inlineStr">
        <is>
          <t>Revenue per NSF</t>
        </is>
      </c>
      <c r="B20" s="9">
        <f>B11/TotalNSF</f>
        <v/>
      </c>
    </row>
  </sheetData>
  <mergeCells count="5">
    <mergeCell ref="A1:D1"/>
    <mergeCell ref="A4:D4"/>
    <mergeCell ref="A2:D2"/>
    <mergeCell ref="A10:D10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43" customWidth="1" min="1" max="1"/>
    <col width="38" customWidth="1" min="2" max="2"/>
    <col width="56" customWidth="1" min="3" max="3"/>
    <col width="49" customWidth="1" min="4" max="4"/>
  </cols>
  <sheetData>
    <row r="1">
      <c r="A1" s="10" t="inlineStr">
        <is>
          <t>NEVO TOWER - PROJECT ASSUMPTIONS</t>
        </is>
      </c>
    </row>
    <row r="3">
      <c r="A3" s="11" t="inlineStr">
        <is>
          <t>PROJECT INFORMATION</t>
        </is>
      </c>
    </row>
    <row r="5">
      <c r="A5" t="inlineStr">
        <is>
          <t>Total GSF</t>
        </is>
      </c>
      <c r="B5" s="12" t="n">
        <v>108675</v>
      </c>
      <c r="C5" s="4" t="n">
        <v>1</v>
      </c>
    </row>
    <row r="6">
      <c r="A6" t="inlineStr">
        <is>
          <t>Total NSF</t>
        </is>
      </c>
      <c r="B6" s="12" t="n">
        <v>86940</v>
      </c>
      <c r="C6" s="4">
        <f>86940/108675</f>
        <v/>
      </c>
    </row>
    <row r="7">
      <c r="A7" t="inlineStr">
        <is>
          <t>Residential Units</t>
        </is>
      </c>
      <c r="B7" t="n">
        <v>50</v>
      </c>
      <c r="C7" s="4" t="n">
        <v>1</v>
      </c>
    </row>
    <row r="9">
      <c r="A9" s="11" t="inlineStr">
        <is>
          <t>LAND PARTNER STRUCTURE</t>
        </is>
      </c>
    </row>
    <row r="11">
      <c r="A11" t="inlineStr">
        <is>
          <t>Land Partner - Land (In-Kind)</t>
        </is>
      </c>
      <c r="B11" s="13" t="n">
        <v>8000000</v>
      </c>
      <c r="C11" s="4">
        <f>B11/10000000</f>
        <v/>
      </c>
      <c r="D11" t="inlineStr">
        <is>
          <t>Land value $10M total - $2M paid cash</t>
        </is>
      </c>
    </row>
    <row r="12">
      <c r="A12" t="inlineStr">
        <is>
          <t>SC Key Money (Month 0)</t>
        </is>
      </c>
      <c r="B12" s="13" t="n">
        <v>1250000</v>
      </c>
      <c r="C12" s="4">
        <f>B12/2000000</f>
        <v/>
      </c>
      <c r="D12" t="inlineStr">
        <is>
          <t>Developer pays SC to enter deal</t>
        </is>
      </c>
    </row>
    <row r="13">
      <c r="A13" t="inlineStr">
        <is>
          <t>SC Payment (Month 6)</t>
        </is>
      </c>
      <c r="B13" s="13" t="n">
        <v>750000</v>
      </c>
      <c r="C13" s="4">
        <f>B13/2000000</f>
        <v/>
      </c>
      <c r="D13" t="inlineStr">
        <is>
          <t>Additional payment to SC</t>
        </is>
      </c>
    </row>
    <row r="14">
      <c r="A14" t="inlineStr">
        <is>
          <t>Land Partner - Deferred Payment</t>
        </is>
      </c>
      <c r="B14" s="13" t="n">
        <v>0</v>
      </c>
      <c r="C14" s="4" t="n">
        <v>0</v>
      </c>
      <c r="D14" t="inlineStr">
        <is>
          <t>$8M paid at exit (NOT a cost)</t>
        </is>
      </c>
    </row>
    <row r="16">
      <c r="A16" s="11" t="inlineStr">
        <is>
          <t>COST ASSUMPTIONS</t>
        </is>
      </c>
    </row>
    <row r="18">
      <c r="A18" t="inlineStr">
        <is>
          <t>GC Overhead &amp; Profit</t>
        </is>
      </c>
      <c r="B18" s="14" t="n">
        <v>0.1</v>
      </c>
      <c r="C18" t="inlineStr">
        <is>
          <t>%</t>
        </is>
      </c>
    </row>
    <row r="19">
      <c r="A19" t="inlineStr">
        <is>
          <t>General Conditions</t>
        </is>
      </c>
      <c r="B19" s="14" t="n">
        <v>0.09</v>
      </c>
      <c r="C19" t="inlineStr">
        <is>
          <t>%</t>
        </is>
      </c>
    </row>
    <row r="20">
      <c r="A20" t="inlineStr">
        <is>
          <t>Design Contingency</t>
        </is>
      </c>
      <c r="B20" s="14" t="n">
        <v>0.08</v>
      </c>
      <c r="C20" t="inlineStr">
        <is>
          <t>%</t>
        </is>
      </c>
    </row>
    <row r="21">
      <c r="A21" t="inlineStr">
        <is>
          <t>Construction Contingency</t>
        </is>
      </c>
      <c r="B21" s="14" t="n">
        <v>0.05</v>
      </c>
      <c r="C21" t="inlineStr">
        <is>
          <t>%</t>
        </is>
      </c>
    </row>
    <row r="22">
      <c r="A22" t="inlineStr">
        <is>
          <t>Owner Contingency</t>
        </is>
      </c>
      <c r="B22" s="14" t="n">
        <v>0.03</v>
      </c>
      <c r="C22" t="inlineStr">
        <is>
          <t>%</t>
        </is>
      </c>
    </row>
    <row r="23">
      <c r="A23" t="inlineStr">
        <is>
          <t>A&amp;E Fee Rate</t>
        </is>
      </c>
      <c r="B23" s="14" t="n">
        <v>0.038</v>
      </c>
      <c r="C23" t="inlineStr">
        <is>
          <t>%</t>
        </is>
      </c>
    </row>
    <row r="24">
      <c r="A24" t="inlineStr">
        <is>
          <t>Marketing Rate</t>
        </is>
      </c>
      <c r="B24" s="14" t="n">
        <v>0.02</v>
      </c>
      <c r="C24" t="inlineStr">
        <is>
          <t>%</t>
        </is>
      </c>
    </row>
    <row r="25">
      <c r="A25" t="inlineStr">
        <is>
          <t>Financing Rate</t>
        </is>
      </c>
      <c r="B25" s="14" t="n">
        <v>0.08500000000000001</v>
      </c>
      <c r="C25" t="inlineStr">
        <is>
          <t>%</t>
        </is>
      </c>
    </row>
    <row r="26">
      <c r="A26" t="inlineStr">
        <is>
          <t>Loan to Cost</t>
        </is>
      </c>
      <c r="B26" s="14" t="n">
        <v>0.75</v>
      </c>
      <c r="C26" t="inlineStr">
        <is>
          <t>%</t>
        </is>
      </c>
    </row>
    <row r="27">
      <c r="A27" t="inlineStr">
        <is>
          <t>Construction Duration</t>
        </is>
      </c>
      <c r="B27" s="15" t="n">
        <v>24</v>
      </c>
      <c r="C27" t="inlineStr">
        <is>
          <t>months</t>
        </is>
      </c>
    </row>
    <row r="28">
      <c r="A28" t="inlineStr">
        <is>
          <t>Bridge Loan Duration</t>
        </is>
      </c>
      <c r="B28" s="15" t="n">
        <v>9</v>
      </c>
      <c r="C28" t="inlineStr">
        <is>
          <t>months</t>
        </is>
      </c>
    </row>
    <row r="31">
      <c r="A31" s="11" t="inlineStr">
        <is>
          <t>PROJECT TOTALS</t>
        </is>
      </c>
    </row>
    <row r="33">
      <c r="A33" t="inlineStr">
        <is>
          <t>Total Hard Costs</t>
        </is>
      </c>
      <c r="B33" s="7">
        <f>TotalHardCosts</f>
        <v/>
      </c>
      <c r="C33" s="4">
        <f>TotalHardCosts/TotalProjectCost</f>
        <v/>
      </c>
      <c r="D33" t="inlineStr">
        <is>
          <t>From Hard Costs sheet</t>
        </is>
      </c>
    </row>
    <row r="34">
      <c r="A34" t="inlineStr">
        <is>
          <t>Total Soft Costs</t>
        </is>
      </c>
      <c r="B34" s="7">
        <f>TotalSoftCosts</f>
        <v/>
      </c>
      <c r="C34" s="4">
        <f>TotalSoftCosts/TotalProjectCost</f>
        <v/>
      </c>
      <c r="D34" t="inlineStr">
        <is>
          <t>From Soft Costs sheet</t>
        </is>
      </c>
    </row>
    <row r="35">
      <c r="A35" t="inlineStr">
        <is>
          <t>SC Cash Payments</t>
        </is>
      </c>
      <c r="B35" s="7">
        <f>LandPartner_Cash1+LandPartner_Cash2</f>
        <v/>
      </c>
      <c r="C35" s="4">
        <f>(LandPartner_Cash1+LandPartner_Cash2)/TotalProjectCost</f>
        <v/>
      </c>
      <c r="D35" t="inlineStr">
        <is>
          <t>Cash paid to land partner</t>
        </is>
      </c>
    </row>
    <row r="36">
      <c r="A36" t="inlineStr">
        <is>
          <t>TOTAL PROJECT COST</t>
        </is>
      </c>
      <c r="B36" s="6">
        <f>TotalProjectCost</f>
        <v/>
      </c>
      <c r="C36" s="4" t="inlineStr">
        <is>
          <t>100.0%</t>
        </is>
      </c>
      <c r="D36" t="inlineStr">
        <is>
          <t>From Summary sheet</t>
        </is>
      </c>
    </row>
    <row r="38">
      <c r="A38" t="inlineStr">
        <is>
          <t>Total Revenue</t>
        </is>
      </c>
      <c r="B38" s="16">
        <f>TotalRevenue</f>
        <v/>
      </c>
      <c r="D38" t="inlineStr">
        <is>
          <t>From Revenue sheet</t>
        </is>
      </c>
    </row>
    <row r="40">
      <c r="A40" t="inlineStr">
        <is>
          <t>Gross Profit</t>
        </is>
      </c>
      <c r="B40" s="6">
        <f>GrossProfit</f>
        <v/>
      </c>
      <c r="C40" s="4">
        <f>GrossProfit/TotalRevenue</f>
        <v/>
      </c>
      <c r="D40" t="inlineStr">
        <is>
          <t>From Summary sheet</t>
        </is>
      </c>
    </row>
    <row r="41">
      <c r="A41" t="inlineStr">
        <is>
          <t>ROI (Return on Cost)</t>
        </is>
      </c>
      <c r="B41" s="8">
        <f>GrossProfit/TotalProjectCost</f>
        <v/>
      </c>
      <c r="D41" t="inlineStr">
        <is>
          <t>Profit / Total Cost</t>
        </is>
      </c>
    </row>
    <row r="43">
      <c r="A43" s="11" t="inlineStr">
        <is>
          <t>SYNAGOGUE/MIKVAH (Unit #51)</t>
        </is>
      </c>
    </row>
    <row r="45">
      <c r="A45" t="inlineStr">
        <is>
          <t>Synagogue Revenue (at cost)</t>
        </is>
      </c>
      <c r="B45" s="7">
        <f>Synagogue_Cost</f>
        <v/>
      </c>
      <c r="D45" t="inlineStr">
        <is>
          <t>10,500 NSF @ $400/SF</t>
        </is>
      </c>
    </row>
    <row r="46">
      <c r="A46" t="inlineStr">
        <is>
          <t>Allocated Cost (part of Hard+Soft)</t>
        </is>
      </c>
      <c r="B46" s="7">
        <f>Synagogue_Cost</f>
        <v/>
      </c>
      <c r="D46" t="inlineStr">
        <is>
          <t>Paid by SC from windfall</t>
        </is>
      </c>
    </row>
    <row r="47">
      <c r="A47" t="inlineStr">
        <is>
          <t>Net Impact on Profit</t>
        </is>
      </c>
      <c r="B47" s="7" t="n">
        <v>0</v>
      </c>
      <c r="C47" s="4" t="inlineStr">
        <is>
          <t>0.0%</t>
        </is>
      </c>
      <c r="D47" t="inlineStr">
        <is>
          <t>Revenue = Cost (break-even)</t>
        </is>
      </c>
    </row>
    <row r="49">
      <c r="A49" t="inlineStr">
        <is>
          <t>Revenue-Generating Units</t>
        </is>
      </c>
      <c r="B49" s="17" t="n">
        <v>50</v>
      </c>
      <c r="D49" t="inlineStr">
        <is>
          <t>Excludes Synagogue/Mikvah</t>
        </is>
      </c>
    </row>
    <row r="50">
      <c r="A50" t="inlineStr">
        <is>
          <t>Cost per Revenue Unit</t>
        </is>
      </c>
      <c r="B50" s="7">
        <f>(TotalProjectCost-Synagogue_Cost)/50</f>
        <v/>
      </c>
      <c r="D50" t="inlineStr">
        <is>
          <t>From Summary sheet</t>
        </is>
      </c>
    </row>
    <row r="53">
      <c r="A53" s="11" t="inlineStr">
        <is>
          <t>NAMED RANGES - How Formulas Connect Sheets</t>
        </is>
      </c>
    </row>
    <row r="54">
      <c r="A54" s="17" t="inlineStr">
        <is>
          <t>Range Name</t>
        </is>
      </c>
      <c r="B54" s="17" t="inlineStr">
        <is>
          <t>Location</t>
        </is>
      </c>
      <c r="C54" s="17" t="inlineStr">
        <is>
          <t>Value</t>
        </is>
      </c>
      <c r="D54" s="17" t="inlineStr">
        <is>
          <t>Description</t>
        </is>
      </c>
    </row>
    <row r="55">
      <c r="A55" t="inlineStr">
        <is>
          <t>LandPartner_Land</t>
        </is>
      </c>
      <c r="B55" t="inlineStr">
        <is>
          <t>B11</t>
        </is>
      </c>
      <c r="C55">
        <f>B11</f>
        <v/>
      </c>
      <c r="D55" t="inlineStr">
        <is>
          <t>80% - SC land in-kind ($8M)</t>
        </is>
      </c>
    </row>
    <row r="56">
      <c r="A56" t="inlineStr">
        <is>
          <t>LandPartner_Cash1</t>
        </is>
      </c>
      <c r="B56" t="inlineStr">
        <is>
          <t>B12</t>
        </is>
      </c>
      <c r="C56">
        <f>B12</f>
        <v/>
      </c>
      <c r="D56" t="inlineStr">
        <is>
          <t>62.5% - SC cash Month 0 ($1.25M)</t>
        </is>
      </c>
    </row>
    <row r="57">
      <c r="A57" t="inlineStr">
        <is>
          <t>LandPartner_Cash2</t>
        </is>
      </c>
      <c r="B57" t="inlineStr">
        <is>
          <t>B13</t>
        </is>
      </c>
      <c r="C57">
        <f>B13</f>
        <v/>
      </c>
      <c r="D57" t="inlineStr">
        <is>
          <t>37.5% - SC cash Month 6 ($750K)</t>
        </is>
      </c>
    </row>
    <row r="58">
      <c r="A58" t="inlineStr">
        <is>
          <t>TotalHardCosts</t>
        </is>
      </c>
      <c r="B58" t="inlineStr">
        <is>
          <t>'Hard Costs'!E[row]</t>
        </is>
      </c>
      <c r="C58">
        <f>TotalHardCosts</f>
        <v/>
      </c>
      <c r="D58" t="inlineStr">
        <is>
          <t>~85% - All construction costs</t>
        </is>
      </c>
    </row>
    <row r="59">
      <c r="A59" t="inlineStr">
        <is>
          <t>TotalSoftCosts</t>
        </is>
      </c>
      <c r="B59" t="inlineStr">
        <is>
          <t>'Soft Costs'!B[row]</t>
        </is>
      </c>
      <c r="C59">
        <f>TotalSoftCosts</f>
        <v/>
      </c>
      <c r="D59" t="inlineStr">
        <is>
          <t>~12% - Design, permits, financing</t>
        </is>
      </c>
    </row>
    <row r="60">
      <c r="A60" t="inlineStr">
        <is>
          <t>TotalRevenue</t>
        </is>
      </c>
      <c r="B60" t="inlineStr">
        <is>
          <t>'Revenue'!F[row]</t>
        </is>
      </c>
      <c r="C60">
        <f>TotalRevenue</f>
        <v/>
      </c>
      <c r="D60" t="inlineStr">
        <is>
          <t>100% - Total project revenue</t>
        </is>
      </c>
    </row>
    <row r="61">
      <c r="A61" t="inlineStr">
        <is>
          <t>GC_OHP</t>
        </is>
      </c>
      <c r="B61" t="inlineStr">
        <is>
          <t>B18</t>
        </is>
      </c>
      <c r="C61">
        <f>GC_OHP</f>
        <v/>
      </c>
      <c r="D61" t="inlineStr">
        <is>
          <t>10% - GC overhead &amp; profit rate</t>
        </is>
      </c>
    </row>
    <row r="62">
      <c r="A62" t="inlineStr">
        <is>
          <t>AE_Rate</t>
        </is>
      </c>
      <c r="B62" t="inlineStr">
        <is>
          <t>B23</t>
        </is>
      </c>
      <c r="C62">
        <f>AE_Rate</f>
        <v/>
      </c>
      <c r="D62" t="inlineStr">
        <is>
          <t>3.8% - Architecture &amp; engineering fee</t>
        </is>
      </c>
    </row>
    <row r="63">
      <c r="A63" t="inlineStr">
        <is>
          <t>Marketing_Rate</t>
        </is>
      </c>
      <c r="B63" t="inlineStr">
        <is>
          <t>B24</t>
        </is>
      </c>
      <c r="C63">
        <f>Marketing_Rate</f>
        <v/>
      </c>
      <c r="D63" t="inlineStr">
        <is>
          <t>2.0% - Marketing &amp; sales rate</t>
        </is>
      </c>
    </row>
    <row r="64">
      <c r="A64" t="inlineStr">
        <is>
          <t>LTC</t>
        </is>
      </c>
      <c r="B64" t="inlineStr">
        <is>
          <t>B26</t>
        </is>
      </c>
      <c r="C64">
        <f>LTC</f>
        <v/>
      </c>
      <c r="D64" t="inlineStr">
        <is>
          <t>75% - Loan-to-cost ratio</t>
        </is>
      </c>
    </row>
    <row r="66">
      <c r="A66" s="17" t="inlineStr">
        <is>
          <t>HOW TO USE NAMED RANGES:</t>
        </is>
      </c>
      <c r="D66" t="inlineStr">
        <is>
          <t>Type = then the range name in any formula</t>
        </is>
      </c>
    </row>
    <row r="67">
      <c r="A67" t="inlineStr">
        <is>
          <t>Example:</t>
        </is>
      </c>
      <c r="D67">
        <f>TotalHardCosts*0.05 calculates 5% of hard costs</f>
        <v/>
      </c>
    </row>
  </sheetData>
  <mergeCells count="7">
    <mergeCell ref="A1:D1"/>
    <mergeCell ref="A9:D9"/>
    <mergeCell ref="A31:D31"/>
    <mergeCell ref="A53:D53"/>
    <mergeCell ref="A3:D3"/>
    <mergeCell ref="A43:D43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HARD COSTS - SIMPLIFIED (7 MAJOR CATEGORIES)</t>
        </is>
      </c>
    </row>
    <row r="2">
      <c r="A2" t="inlineStr">
        <is>
          <t>Consolidated from 23 CSI divisions for clarity</t>
        </is>
      </c>
    </row>
    <row r="4">
      <c r="A4" s="18" t="inlineStr">
        <is>
          <t>Category</t>
        </is>
      </c>
      <c r="B4" s="18" t="inlineStr">
        <is>
          <t>Description</t>
        </is>
      </c>
      <c r="C4" s="18" t="inlineStr">
        <is>
          <t>Rate ($/GSF)</t>
        </is>
      </c>
      <c r="D4" s="18" t="inlineStr">
        <is>
          <t>GSF</t>
        </is>
      </c>
      <c r="E4" s="18" t="inlineStr">
        <is>
          <t>Total Cost</t>
        </is>
      </c>
    </row>
    <row r="5">
      <c r="A5" s="17" t="inlineStr">
        <is>
          <t>1</t>
        </is>
      </c>
      <c r="B5" s="28" t="inlineStr">
        <is>
          <t>SITE &amp; FOUNDATION</t>
        </is>
      </c>
      <c r="C5" s="19" t="n">
        <v>18.89</v>
      </c>
      <c r="D5" s="12" t="n">
        <v>108675</v>
      </c>
      <c r="E5" s="7">
        <f>C5*D5</f>
        <v/>
      </c>
    </row>
    <row r="6">
      <c r="B6" s="89" t="inlineStr">
        <is>
          <t>Site work, demolition, earthwork, utilities connections (CSI 01, 02, 31)</t>
        </is>
      </c>
    </row>
    <row r="7">
      <c r="A7" s="17" t="inlineStr">
        <is>
          <t>2</t>
        </is>
      </c>
      <c r="B7" s="28" t="inlineStr">
        <is>
          <t>STRUCTURE</t>
        </is>
      </c>
      <c r="C7" s="19" t="n">
        <v>46.92</v>
      </c>
      <c r="D7" s="12" t="n">
        <v>108675</v>
      </c>
      <c r="E7" s="7">
        <f>C7*D7</f>
        <v/>
      </c>
    </row>
    <row r="8">
      <c r="B8" s="89" t="inlineStr">
        <is>
          <t>Concrete structure, structural steel, framing (CSI 03, 05)</t>
        </is>
      </c>
    </row>
    <row r="9">
      <c r="A9" s="17" t="inlineStr">
        <is>
          <t>3</t>
        </is>
      </c>
      <c r="B9" s="28" t="inlineStr">
        <is>
          <t>BUILDING ENVELOPE</t>
        </is>
      </c>
      <c r="C9" s="19" t="n">
        <v>46.31</v>
      </c>
      <c r="D9" s="12" t="n">
        <v>108675</v>
      </c>
      <c r="E9" s="7">
        <f>C9*D9</f>
        <v/>
      </c>
    </row>
    <row r="10">
      <c r="B10" s="89" t="inlineStr">
        <is>
          <t>Masonry, waterproofing, roofing, windows, doors (CSI 04, 07, 08)</t>
        </is>
      </c>
    </row>
    <row r="11">
      <c r="A11" s="17" t="inlineStr">
        <is>
          <t>4</t>
        </is>
      </c>
      <c r="B11" s="28" t="inlineStr">
        <is>
          <t>INTERIOR FINISHES</t>
        </is>
      </c>
      <c r="C11" s="19" t="n">
        <v>48.56</v>
      </c>
      <c r="D11" s="12" t="n">
        <v>108675</v>
      </c>
      <c r="E11" s="7">
        <f>C11*D11</f>
        <v/>
      </c>
    </row>
    <row r="12">
      <c r="B12" s="89" t="inlineStr">
        <is>
          <t>Drywall, flooring, paint, millwork, cabinets, specialties (CSI 06, 09, 10, 11, 12, 13)</t>
        </is>
      </c>
    </row>
    <row r="13">
      <c r="A13" s="17" t="inlineStr">
        <is>
          <t>5</t>
        </is>
      </c>
      <c r="B13" s="28" t="inlineStr">
        <is>
          <t>MECHANICAL, PLUMBING &amp; FIRE PROTECTION</t>
        </is>
      </c>
      <c r="C13" s="19" t="n">
        <v>28.5</v>
      </c>
      <c r="D13" s="12" t="n">
        <v>108675</v>
      </c>
      <c r="E13" s="7">
        <f>C13*D13</f>
        <v/>
      </c>
    </row>
    <row r="14">
      <c r="B14" s="89" t="inlineStr">
        <is>
          <t>HVAC, plumbing, fire sprinklers (CSI 21, 22, 23)</t>
        </is>
      </c>
    </row>
    <row r="15">
      <c r="A15" s="17" t="inlineStr">
        <is>
          <t>6</t>
        </is>
      </c>
      <c r="B15" s="28" t="inlineStr">
        <is>
          <t>ELECTRICAL &amp; LOW VOLTAGE</t>
        </is>
      </c>
      <c r="C15" s="19" t="n">
        <v>16.65</v>
      </c>
      <c r="D15" s="12" t="n">
        <v>108675</v>
      </c>
      <c r="E15" s="7">
        <f>C15*D15</f>
        <v/>
      </c>
    </row>
    <row r="16">
      <c r="B16" s="89" t="inlineStr">
        <is>
          <t>Power, lighting, data, phone, security, fire alarm (CSI 26, 27, 28)</t>
        </is>
      </c>
    </row>
    <row r="17">
      <c r="A17" s="17" t="inlineStr">
        <is>
          <t>7</t>
        </is>
      </c>
      <c r="B17" s="28" t="inlineStr">
        <is>
          <t>ELEVATORS &amp; SITE IMPROVEMENTS</t>
        </is>
      </c>
      <c r="C17" s="19" t="n">
        <v>9.130000000000001</v>
      </c>
      <c r="D17" s="12" t="n">
        <v>108675</v>
      </c>
      <c r="E17" s="7">
        <f>C17*D17</f>
        <v/>
      </c>
    </row>
    <row r="18">
      <c r="B18" s="89" t="inlineStr">
        <is>
          <t>Elevators, landscaping, paving, site utilities (CSI 14, 32, 33)</t>
        </is>
      </c>
    </row>
    <row r="20">
      <c r="B20" s="5" t="inlineStr">
        <is>
          <t>SUBTOTAL - Direct Construction Costs</t>
        </is>
      </c>
      <c r="E20" s="90">
        <f>SUM(E5,E7,E9,E11,E13,E15,E17)</f>
        <v/>
      </c>
    </row>
    <row r="22">
      <c r="B22" s="17" t="inlineStr">
        <is>
          <t>GENERAL CONDITIONS (9%)</t>
        </is>
      </c>
      <c r="C22" s="4">
        <f>GC_GC</f>
        <v/>
      </c>
      <c r="E22" s="3">
        <f>E20*GC_GC</f>
        <v/>
      </c>
    </row>
    <row r="23">
      <c r="B23" s="89" t="inlineStr">
        <is>
          <t xml:space="preserve">  Site office, supervision, permits, safety</t>
        </is>
      </c>
    </row>
    <row r="24">
      <c r="B24" s="17" t="inlineStr">
        <is>
          <t>OVERHEAD &amp; PROFIT (10%)</t>
        </is>
      </c>
      <c r="C24" s="4">
        <f>GC_OHP</f>
        <v/>
      </c>
      <c r="E24" s="3">
        <f>(E20+E22)*GC_OHP</f>
        <v/>
      </c>
    </row>
    <row r="25">
      <c r="B25" s="89" t="inlineStr">
        <is>
          <t xml:space="preserve">  GC's business costs, insurance, profit margin</t>
        </is>
      </c>
    </row>
    <row r="27">
      <c r="B27" s="5" t="inlineStr">
        <is>
          <t>SUBTOTAL before Contingencies</t>
        </is>
      </c>
      <c r="E27" s="90">
        <f>E20+E22+E24</f>
        <v/>
      </c>
    </row>
    <row r="29">
      <c r="B29" s="17" t="inlineStr">
        <is>
          <t>DESIGN CONTINGENCY (8%)</t>
        </is>
      </c>
      <c r="C29" s="4">
        <f>Design_Cont</f>
        <v/>
      </c>
      <c r="E29" s="3">
        <f>E27*Design_Cont</f>
        <v/>
      </c>
    </row>
    <row r="30">
      <c r="B30" s="89" t="inlineStr">
        <is>
          <t xml:space="preserve">  Buffer for design changes during construction</t>
        </is>
      </c>
    </row>
    <row r="31">
      <c r="B31" s="17" t="inlineStr">
        <is>
          <t>CONSTRUCTION CONTINGENCY (5%)</t>
        </is>
      </c>
      <c r="C31" s="4">
        <f>Constr_Cont</f>
        <v/>
      </c>
      <c r="E31" s="3">
        <f>E27*Constr_Cont</f>
        <v/>
      </c>
    </row>
    <row r="32">
      <c r="B32" s="89" t="inlineStr">
        <is>
          <t xml:space="preserve">  Unexpected field conditions (rock, utilities, etc.)</t>
        </is>
      </c>
    </row>
    <row r="33">
      <c r="B33" s="17" t="inlineStr">
        <is>
          <t>OWNER CONTINGENCY (3%)</t>
        </is>
      </c>
      <c r="C33" s="4">
        <f>Owner_Cont</f>
        <v/>
      </c>
      <c r="E33" s="3">
        <f>E27*Owner_Cont</f>
        <v/>
      </c>
    </row>
    <row r="34">
      <c r="B34" s="89" t="inlineStr">
        <is>
          <t xml:space="preserve">  Owner's reserve for changes/upgrades</t>
        </is>
      </c>
    </row>
    <row r="36">
      <c r="B36" s="10" t="inlineStr">
        <is>
          <t>TOTAL HARD COSTS</t>
        </is>
      </c>
      <c r="E36" s="91">
        <f>E27+E29+E31+E33</f>
        <v/>
      </c>
    </row>
    <row r="37">
      <c r="B37" s="17" t="inlineStr">
        <is>
          <t>Cost per GSF</t>
        </is>
      </c>
      <c r="E37" s="21">
        <f>E36/108675</f>
        <v/>
      </c>
    </row>
    <row r="39">
      <c r="B39" t="inlineStr">
        <is>
          <t>Detailed CSI Budget (23 divisions)</t>
        </is>
      </c>
      <c r="E39" s="3">
        <f>TotalHardCosts</f>
        <v/>
      </c>
    </row>
    <row r="40">
      <c r="B40" t="inlineStr">
        <is>
          <t>Simplified Budget (7 categories)</t>
        </is>
      </c>
      <c r="E40" s="3">
        <f>E36</f>
        <v/>
      </c>
    </row>
    <row r="41">
      <c r="B41" s="17" t="inlineStr">
        <is>
          <t>Difference</t>
        </is>
      </c>
      <c r="E41" s="7">
        <f>E39-E40</f>
        <v/>
      </c>
    </row>
  </sheetData>
  <mergeCells count="14">
    <mergeCell ref="B23:E23"/>
    <mergeCell ref="B18:E18"/>
    <mergeCell ref="B8:E8"/>
    <mergeCell ref="A2:E2"/>
    <mergeCell ref="B12:E12"/>
    <mergeCell ref="B6:E6"/>
    <mergeCell ref="B30:E30"/>
    <mergeCell ref="B16:E16"/>
    <mergeCell ref="A1:E1"/>
    <mergeCell ref="B25:E25"/>
    <mergeCell ref="B34:E34"/>
    <mergeCell ref="B10:E10"/>
    <mergeCell ref="B14:E14"/>
    <mergeCell ref="B32:E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13" customWidth="1" min="3" max="3"/>
    <col width="10" customWidth="1" min="4" max="4"/>
    <col width="18" customWidth="1" min="5" max="5"/>
  </cols>
  <sheetData>
    <row r="1">
      <c r="A1" s="10" t="inlineStr">
        <is>
          <t>HARD COSTS - CSI MASTERFORMAT DIVISIONS</t>
        </is>
      </c>
    </row>
    <row r="3">
      <c r="A3" s="18" t="inlineStr">
        <is>
          <t>CSI</t>
        </is>
      </c>
      <c r="B3" s="18" t="inlineStr">
        <is>
          <t>Description</t>
        </is>
      </c>
      <c r="C3" s="18" t="inlineStr">
        <is>
          <t>Rate ($/GSF)</t>
        </is>
      </c>
      <c r="D3" s="18" t="inlineStr">
        <is>
          <t>GSF</t>
        </is>
      </c>
      <c r="E3" s="18" t="inlineStr">
        <is>
          <t>Total Cost</t>
        </is>
      </c>
    </row>
    <row r="4">
      <c r="A4" t="inlineStr">
        <is>
          <t>01</t>
        </is>
      </c>
      <c r="B4" t="inlineStr">
        <is>
          <t>General Requirements</t>
        </is>
      </c>
      <c r="C4" s="19" t="n">
        <v>10.53</v>
      </c>
      <c r="D4" s="12">
        <f>TotalGSF</f>
        <v/>
      </c>
      <c r="E4" s="3">
        <f>C4*D4</f>
        <v/>
      </c>
    </row>
    <row r="5">
      <c r="A5" t="inlineStr">
        <is>
          <t>02</t>
        </is>
      </c>
      <c r="B5" t="inlineStr">
        <is>
          <t>Existing Conditions &amp; Site Work</t>
        </is>
      </c>
      <c r="C5" s="19" t="n">
        <v>4.56</v>
      </c>
      <c r="D5" s="12">
        <f>TotalGSF</f>
        <v/>
      </c>
      <c r="E5" s="3">
        <f>C5*D5</f>
        <v/>
      </c>
    </row>
    <row r="6">
      <c r="A6" t="inlineStr">
        <is>
          <t>03</t>
        </is>
      </c>
      <c r="B6" t="inlineStr">
        <is>
          <t>Concrete - Pour-in-Place PT</t>
        </is>
      </c>
      <c r="C6" s="19" t="n">
        <v>39.47</v>
      </c>
      <c r="D6" s="12">
        <f>TotalGSF</f>
        <v/>
      </c>
      <c r="E6" s="3">
        <f>C6*D6</f>
        <v/>
      </c>
    </row>
    <row r="7">
      <c r="A7" t="inlineStr">
        <is>
          <t>04</t>
        </is>
      </c>
      <c r="B7" t="inlineStr">
        <is>
          <t>Masonry</t>
        </is>
      </c>
      <c r="C7" s="19" t="n">
        <v>2.46</v>
      </c>
      <c r="D7" s="12">
        <f>TotalGSF</f>
        <v/>
      </c>
      <c r="E7" s="3">
        <f>C7*D7</f>
        <v/>
      </c>
    </row>
    <row r="8">
      <c r="A8" t="inlineStr">
        <is>
          <t>05</t>
        </is>
      </c>
      <c r="B8" t="inlineStr">
        <is>
          <t>Metals</t>
        </is>
      </c>
      <c r="C8" s="19" t="n">
        <v>7.45</v>
      </c>
      <c r="D8" s="12">
        <f>TotalGSF</f>
        <v/>
      </c>
      <c r="E8" s="3">
        <f>C8*D8</f>
        <v/>
      </c>
    </row>
    <row r="9">
      <c r="A9" t="inlineStr">
        <is>
          <t>06</t>
        </is>
      </c>
      <c r="B9" t="inlineStr">
        <is>
          <t>Wood &amp; Plastics</t>
        </is>
      </c>
      <c r="C9" s="19" t="n">
        <v>2.81</v>
      </c>
      <c r="D9" s="12">
        <f>TotalGSF</f>
        <v/>
      </c>
      <c r="E9" s="3">
        <f>C9*D9</f>
        <v/>
      </c>
    </row>
    <row r="10">
      <c r="A10" t="inlineStr">
        <is>
          <t>07</t>
        </is>
      </c>
      <c r="B10" t="inlineStr">
        <is>
          <t>Thermal &amp; Moisture Protection</t>
        </is>
      </c>
      <c r="C10" s="19" t="n">
        <v>19.3</v>
      </c>
      <c r="D10" s="12">
        <f>TotalGSF</f>
        <v/>
      </c>
      <c r="E10" s="3">
        <f>C10*D10</f>
        <v/>
      </c>
    </row>
    <row r="11">
      <c r="A11" t="inlineStr">
        <is>
          <t>08</t>
        </is>
      </c>
      <c r="B11" t="inlineStr">
        <is>
          <t>Openings (Doors, Windows, HVHZ)</t>
        </is>
      </c>
      <c r="C11" s="19" t="n">
        <v>24.55</v>
      </c>
      <c r="D11" s="12">
        <f>TotalGSF</f>
        <v/>
      </c>
      <c r="E11" s="3">
        <f>C11*D11</f>
        <v/>
      </c>
    </row>
    <row r="12">
      <c r="A12" t="inlineStr">
        <is>
          <t>09</t>
        </is>
      </c>
      <c r="B12" t="inlineStr">
        <is>
          <t>Finishes</t>
        </is>
      </c>
      <c r="C12" s="19" t="n">
        <v>36.83</v>
      </c>
      <c r="D12" s="12">
        <f>TotalGSF</f>
        <v/>
      </c>
      <c r="E12" s="3">
        <f>C12*D12</f>
        <v/>
      </c>
    </row>
    <row r="13">
      <c r="A13" t="inlineStr">
        <is>
          <t>10</t>
        </is>
      </c>
      <c r="B13" t="inlineStr">
        <is>
          <t>Specialties</t>
        </is>
      </c>
      <c r="C13" s="19" t="n">
        <v>3.95</v>
      </c>
      <c r="D13" s="12">
        <f>TotalGSF</f>
        <v/>
      </c>
      <c r="E13" s="3">
        <f>C13*D13</f>
        <v/>
      </c>
    </row>
    <row r="14">
      <c r="A14" t="inlineStr">
        <is>
          <t>11</t>
        </is>
      </c>
      <c r="B14" t="inlineStr">
        <is>
          <t>Equipment</t>
        </is>
      </c>
      <c r="C14" s="19" t="n">
        <v>3.33</v>
      </c>
      <c r="D14" s="12">
        <f>TotalGSF</f>
        <v/>
      </c>
      <c r="E14" s="3">
        <f>C14*D14</f>
        <v/>
      </c>
    </row>
    <row r="15">
      <c r="A15" t="inlineStr">
        <is>
          <t>12</t>
        </is>
      </c>
      <c r="B15" t="inlineStr">
        <is>
          <t>Furnishings</t>
        </is>
      </c>
      <c r="C15" s="19" t="n">
        <v>1.05</v>
      </c>
      <c r="D15" s="12">
        <f>TotalGSF</f>
        <v/>
      </c>
      <c r="E15" s="3">
        <f>C15*D15</f>
        <v/>
      </c>
    </row>
    <row r="16">
      <c r="A16" t="inlineStr">
        <is>
          <t>13</t>
        </is>
      </c>
      <c r="B16" t="inlineStr">
        <is>
          <t>Special Construction</t>
        </is>
      </c>
      <c r="C16" s="19" t="n">
        <v>1.58</v>
      </c>
      <c r="D16" s="12">
        <f>TotalGSF</f>
        <v/>
      </c>
      <c r="E16" s="3">
        <f>C16*D16</f>
        <v/>
      </c>
    </row>
    <row r="17">
      <c r="A17" t="inlineStr">
        <is>
          <t>14</t>
        </is>
      </c>
      <c r="B17" t="inlineStr">
        <is>
          <t>Conveying Equipment</t>
        </is>
      </c>
      <c r="C17" s="19" t="n">
        <v>2.72</v>
      </c>
      <c r="D17" s="12">
        <f>TotalGSF</f>
        <v/>
      </c>
      <c r="E17" s="3">
        <f>C17*D17</f>
        <v/>
      </c>
    </row>
    <row r="18">
      <c r="A18" t="inlineStr">
        <is>
          <t>21</t>
        </is>
      </c>
      <c r="B18" t="inlineStr">
        <is>
          <t>Fire Suppression</t>
        </is>
      </c>
      <c r="C18" s="19" t="n">
        <v>6.58</v>
      </c>
      <c r="D18" s="12">
        <f>TotalGSF</f>
        <v/>
      </c>
      <c r="E18" s="3">
        <f>C18*D18</f>
        <v/>
      </c>
    </row>
    <row r="19">
      <c r="A19" t="inlineStr">
        <is>
          <t>22</t>
        </is>
      </c>
      <c r="B19" t="inlineStr">
        <is>
          <t>Plumbing</t>
        </is>
      </c>
      <c r="C19" s="19" t="n">
        <v>8.77</v>
      </c>
      <c r="D19" s="12">
        <f>TotalGSF</f>
        <v/>
      </c>
      <c r="E19" s="3">
        <f>C19*D19</f>
        <v/>
      </c>
    </row>
    <row r="20">
      <c r="A20" t="inlineStr">
        <is>
          <t>23</t>
        </is>
      </c>
      <c r="B20" t="inlineStr">
        <is>
          <t>HVAC</t>
        </is>
      </c>
      <c r="C20" s="19" t="n">
        <v>13.15</v>
      </c>
      <c r="D20" s="12">
        <f>TotalGSF</f>
        <v/>
      </c>
      <c r="E20" s="3">
        <f>C20*D20</f>
        <v/>
      </c>
    </row>
    <row r="21">
      <c r="A21" t="inlineStr">
        <is>
          <t>26</t>
        </is>
      </c>
      <c r="B21" t="inlineStr">
        <is>
          <t>Electrical</t>
        </is>
      </c>
      <c r="C21" s="19" t="n">
        <v>13.15</v>
      </c>
      <c r="D21" s="12">
        <f>TotalGSF</f>
        <v/>
      </c>
      <c r="E21" s="3">
        <f>C21*D21</f>
        <v/>
      </c>
    </row>
    <row r="22">
      <c r="A22" t="inlineStr">
        <is>
          <t>27</t>
        </is>
      </c>
      <c r="B22" t="inlineStr">
        <is>
          <t>Communications</t>
        </is>
      </c>
      <c r="C22" s="19" t="n">
        <v>1.75</v>
      </c>
      <c r="D22" s="12">
        <f>TotalGSF</f>
        <v/>
      </c>
      <c r="E22" s="3">
        <f>C22*D22</f>
        <v/>
      </c>
    </row>
    <row r="23">
      <c r="A23" t="inlineStr">
        <is>
          <t>28</t>
        </is>
      </c>
      <c r="B23" t="inlineStr">
        <is>
          <t>Electronic Safety &amp; Security</t>
        </is>
      </c>
      <c r="C23" s="19" t="n">
        <v>1.75</v>
      </c>
      <c r="D23" s="12">
        <f>TotalGSF</f>
        <v/>
      </c>
      <c r="E23" s="3">
        <f>C23*D23</f>
        <v/>
      </c>
    </row>
    <row r="24">
      <c r="A24" t="inlineStr">
        <is>
          <t>31</t>
        </is>
      </c>
      <c r="B24" t="inlineStr">
        <is>
          <t>Earthwork</t>
        </is>
      </c>
      <c r="C24" s="19" t="n">
        <v>3.68</v>
      </c>
      <c r="D24" s="12">
        <f>TotalGSF</f>
        <v/>
      </c>
      <c r="E24" s="3">
        <f>C24*D24</f>
        <v/>
      </c>
    </row>
    <row r="25">
      <c r="A25" t="inlineStr">
        <is>
          <t>32</t>
        </is>
      </c>
      <c r="B25" t="inlineStr">
        <is>
          <t>Exterior Improvements</t>
        </is>
      </c>
      <c r="C25" s="19" t="n">
        <v>3.51</v>
      </c>
      <c r="D25" s="12">
        <f>TotalGSF</f>
        <v/>
      </c>
      <c r="E25" s="3">
        <f>C25*D25</f>
        <v/>
      </c>
    </row>
    <row r="26">
      <c r="A26" t="inlineStr">
        <is>
          <t>33</t>
        </is>
      </c>
      <c r="B26" t="inlineStr">
        <is>
          <t>Utilities</t>
        </is>
      </c>
      <c r="C26" s="19" t="n">
        <v>2.81</v>
      </c>
      <c r="D26" s="12">
        <f>TotalGSF</f>
        <v/>
      </c>
      <c r="E26" s="3">
        <f>C26*D26</f>
        <v/>
      </c>
    </row>
    <row r="27">
      <c r="B27" s="17" t="inlineStr">
        <is>
          <t>SUBTOTAL - Construction</t>
        </is>
      </c>
      <c r="E27" s="20">
        <f>SUM(E4:E26)</f>
        <v/>
      </c>
    </row>
    <row r="29">
      <c r="B29" t="inlineStr">
        <is>
          <t>General Conditions</t>
        </is>
      </c>
      <c r="C29" s="4">
        <f>GC_GC</f>
        <v/>
      </c>
      <c r="E29" s="3">
        <f>E27*GC_GC</f>
        <v/>
      </c>
    </row>
    <row r="30">
      <c r="B30" t="inlineStr">
        <is>
          <t>Overhead &amp; Profit</t>
        </is>
      </c>
      <c r="C30" s="4">
        <f>GC_OHP</f>
        <v/>
      </c>
      <c r="E30" s="3">
        <f>(E27+E29)*GC_OHP</f>
        <v/>
      </c>
    </row>
    <row r="32">
      <c r="B32" s="17" t="inlineStr">
        <is>
          <t>Subtotal before Contingency</t>
        </is>
      </c>
      <c r="E32" s="20">
        <f>E27+E29+E30</f>
        <v/>
      </c>
    </row>
    <row r="34">
      <c r="B34" t="inlineStr">
        <is>
          <t>Design Contingency</t>
        </is>
      </c>
      <c r="C34" s="4">
        <f>Design_Cont</f>
        <v/>
      </c>
      <c r="E34" s="3">
        <f>E32*Design_Cont</f>
        <v/>
      </c>
    </row>
    <row r="35">
      <c r="B35" t="inlineStr">
        <is>
          <t>Construction Contingency</t>
        </is>
      </c>
      <c r="C35" s="4">
        <f>Constr_Cont</f>
        <v/>
      </c>
      <c r="E35" s="3">
        <f>E32*Constr_Cont</f>
        <v/>
      </c>
    </row>
    <row r="36">
      <c r="B36" t="inlineStr">
        <is>
          <t>Owner Contingency</t>
        </is>
      </c>
      <c r="C36" s="4">
        <f>Owner_Cont</f>
        <v/>
      </c>
      <c r="E36" s="3">
        <f>E32*Owner_Cont</f>
        <v/>
      </c>
    </row>
    <row r="38">
      <c r="B38" s="5" t="inlineStr">
        <is>
          <t>TOTAL HARD COSTS</t>
        </is>
      </c>
      <c r="E38" s="6">
        <f>E32+E34+E35+E36</f>
        <v/>
      </c>
    </row>
    <row r="39">
      <c r="B39" s="17" t="inlineStr">
        <is>
          <t>Cost per GSF</t>
        </is>
      </c>
      <c r="E39" s="21">
        <f>E38/108675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18" customWidth="1" min="3" max="3"/>
    <col width="30" customWidth="1" min="4" max="4"/>
  </cols>
  <sheetData>
    <row r="1">
      <c r="A1" s="10" t="inlineStr">
        <is>
          <t>SOFT COSTS - PAYMENT TIMING</t>
        </is>
      </c>
    </row>
    <row r="2">
      <c r="A2" t="inlineStr">
        <is>
          <t>CASH: Months 1-12 | IN-KIND: Months 7-24 | Financing: Dynamic</t>
        </is>
      </c>
    </row>
    <row r="4">
      <c r="A4" s="18" t="inlineStr">
        <is>
          <t>Category</t>
        </is>
      </c>
      <c r="B4" s="18" t="inlineStr">
        <is>
          <t>Amount</t>
        </is>
      </c>
      <c r="C4" s="18" t="inlineStr">
        <is>
          <t>Payment Timing</t>
        </is>
      </c>
      <c r="D4" s="18" t="inlineStr">
        <is>
          <t>Basis</t>
        </is>
      </c>
    </row>
    <row r="5">
      <c r="A5" s="22" t="inlineStr">
        <is>
          <t>IN-KIND SOFT COSTS (Months 7-24)</t>
        </is>
      </c>
    </row>
    <row r="6">
      <c r="A6" t="inlineStr">
        <is>
          <t>Architecture &amp; Engineering</t>
        </is>
      </c>
      <c r="B6" s="13">
        <f>TotalHardCosts*0.0335</f>
        <v/>
      </c>
      <c r="C6" s="23" t="inlineStr">
        <is>
          <t>IN-KIND (Mo 7-24)</t>
        </is>
      </c>
      <c r="D6" t="inlineStr">
        <is>
          <t>3.35% of hard costs</t>
        </is>
      </c>
    </row>
    <row r="7">
      <c r="A7" t="inlineStr">
        <is>
          <t>Marketing &amp; Sales</t>
        </is>
      </c>
      <c r="B7" s="13">
        <f>TotalHardCosts*0.0209</f>
        <v/>
      </c>
      <c r="C7" s="23" t="inlineStr">
        <is>
          <t>IN-KIND (Mo 7-24)</t>
        </is>
      </c>
      <c r="D7" t="inlineStr">
        <is>
          <t>2.09% of hard costs</t>
        </is>
      </c>
    </row>
    <row r="8">
      <c r="A8" t="inlineStr">
        <is>
          <t>Legal &amp; Accounting</t>
        </is>
      </c>
      <c r="B8" s="13">
        <f>TotalHardCosts*0.0083</f>
        <v/>
      </c>
      <c r="C8" s="23" t="inlineStr">
        <is>
          <t>IN-KIND (Mo 7-24)</t>
        </is>
      </c>
      <c r="D8" t="inlineStr">
        <is>
          <t>0.83% of hard costs</t>
        </is>
      </c>
    </row>
    <row r="9">
      <c r="A9" t="inlineStr">
        <is>
          <t>Developer Fee</t>
        </is>
      </c>
      <c r="B9" s="13">
        <f>TotalHardCosts*0.0126</f>
        <v/>
      </c>
      <c r="C9" s="23" t="inlineStr">
        <is>
          <t>IN-KIND (Mo 7-24)</t>
        </is>
      </c>
      <c r="D9" t="inlineStr">
        <is>
          <t>1.26% of hard costs</t>
        </is>
      </c>
    </row>
    <row r="10">
      <c r="A10" s="17" t="inlineStr">
        <is>
          <t>SUBTOTAL IN-KIND</t>
        </is>
      </c>
      <c r="B10" s="24">
        <f>SUM(B6:B9)</f>
        <v/>
      </c>
      <c r="D10" t="inlineStr">
        <is>
          <t>18 months (Mo 7-24)</t>
        </is>
      </c>
    </row>
    <row r="12">
      <c r="A12" s="25" t="inlineStr">
        <is>
          <t>CASH SOFT COSTS (Months 1-12)</t>
        </is>
      </c>
    </row>
    <row r="13">
      <c r="A13" t="inlineStr">
        <is>
          <t>Building Permit</t>
        </is>
      </c>
      <c r="B13" s="13">
        <f>TotalHardCosts*0.0126</f>
        <v/>
      </c>
      <c r="C13" s="26" t="inlineStr">
        <is>
          <t>CASH (Mo 1-12)</t>
        </is>
      </c>
      <c r="D13" t="inlineStr">
        <is>
          <t>1.26% of hard costs</t>
        </is>
      </c>
    </row>
    <row r="14">
      <c r="A14" t="inlineStr">
        <is>
          <t>Impact Fees</t>
        </is>
      </c>
      <c r="B14" s="13">
        <f>TotalHardCosts*0.0083</f>
        <v/>
      </c>
      <c r="C14" s="26" t="inlineStr">
        <is>
          <t>CASH (Mo 1-12)</t>
        </is>
      </c>
      <c r="D14" t="inlineStr">
        <is>
          <t>0.83% of hard costs</t>
        </is>
      </c>
    </row>
    <row r="15">
      <c r="A15" t="inlineStr">
        <is>
          <t>Plan Review</t>
        </is>
      </c>
      <c r="B15" s="13">
        <f>TotalHardCosts*0.0041</f>
        <v/>
      </c>
      <c r="C15" s="26" t="inlineStr">
        <is>
          <t>CASH (Mo 1-12)</t>
        </is>
      </c>
      <c r="D15" t="inlineStr">
        <is>
          <t>0.41% of hard costs</t>
        </is>
      </c>
    </row>
    <row r="16">
      <c r="A16" t="inlineStr">
        <is>
          <t>Insurance</t>
        </is>
      </c>
      <c r="B16" s="13">
        <f>TotalHardCosts*0.0067</f>
        <v/>
      </c>
      <c r="C16" s="26" t="inlineStr">
        <is>
          <t>CASH (Mo 1-12)</t>
        </is>
      </c>
      <c r="D16" t="inlineStr">
        <is>
          <t>0.67% of hard costs</t>
        </is>
      </c>
    </row>
    <row r="17">
      <c r="A17" t="inlineStr">
        <is>
          <t>Testing &amp; Inspections</t>
        </is>
      </c>
      <c r="B17" s="13">
        <f>TotalHardCosts*0.0024</f>
        <v/>
      </c>
      <c r="C17" s="26" t="inlineStr">
        <is>
          <t>CASH (Mo 1-12)</t>
        </is>
      </c>
      <c r="D17" t="inlineStr">
        <is>
          <t>0.24% of hard costs</t>
        </is>
      </c>
    </row>
    <row r="18">
      <c r="A18" t="inlineStr">
        <is>
          <t>Utilities &amp; Misc</t>
        </is>
      </c>
      <c r="B18" s="13">
        <f>TotalHardCosts*0.0016</f>
        <v/>
      </c>
      <c r="C18" s="26" t="inlineStr">
        <is>
          <t>CASH (Mo 1-12)</t>
        </is>
      </c>
      <c r="D18" t="inlineStr">
        <is>
          <t>0.16% of hard costs</t>
        </is>
      </c>
    </row>
    <row r="19">
      <c r="A19" s="17" t="inlineStr">
        <is>
          <t>SUBTOTAL CASH</t>
        </is>
      </c>
      <c r="B19" s="24">
        <f>SUM(B13:B18)</f>
        <v/>
      </c>
      <c r="D19" t="inlineStr">
        <is>
          <t>12 months (Mo 1-12)</t>
        </is>
      </c>
    </row>
    <row r="21">
      <c r="A21" s="27" t="inlineStr">
        <is>
          <t>FINANCING COSTS (Dynamic)</t>
        </is>
      </c>
    </row>
    <row r="22">
      <c r="A22" t="inlineStr">
        <is>
          <t>Bridge Loan Interest</t>
        </is>
      </c>
      <c r="B22" s="3">
        <f>TotalFinancingCosts</f>
        <v/>
      </c>
      <c r="C22" t="inlineStr">
        <is>
          <t>Variable (9%/yr)</t>
        </is>
      </c>
      <c r="D22" t="inlineStr">
        <is>
          <t>Calculated in Cash Flow sheet</t>
        </is>
      </c>
    </row>
    <row r="24">
      <c r="A24" s="28" t="inlineStr">
        <is>
          <t>SUBTOTAL SOFT COSTS (Before Financing)</t>
        </is>
      </c>
      <c r="B24" s="24">
        <f>B10+B19</f>
        <v/>
      </c>
    </row>
    <row r="25">
      <c r="A25" s="5" t="inlineStr">
        <is>
          <t>TOTAL SOFT COSTS (With Financing)</t>
        </is>
      </c>
      <c r="B25" s="6">
        <f>B24+B22</f>
        <v/>
      </c>
    </row>
    <row r="26">
      <c r="A26" s="17" t="inlineStr">
        <is>
          <t>% of Hard Costs</t>
        </is>
      </c>
      <c r="B26" s="8">
        <f>B25/TotalHardCosts</f>
        <v/>
      </c>
      <c r="D26" t="inlineStr">
        <is>
          <t>Target: 12.0%</t>
        </is>
      </c>
    </row>
    <row r="27">
      <c r="A27" s="17" t="inlineStr">
        <is>
          <t>Cost per GSF</t>
        </is>
      </c>
      <c r="B27" s="21">
        <f>B25/108675</f>
        <v/>
      </c>
    </row>
  </sheetData>
  <mergeCells count="5">
    <mergeCell ref="A1:D1"/>
    <mergeCell ref="A5:D5"/>
    <mergeCell ref="A12:D12"/>
    <mergeCell ref="A21:D2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3" customWidth="1" min="3" max="3"/>
    <col width="13" customWidth="1" min="4" max="4"/>
    <col width="13" customWidth="1" min="5" max="5"/>
    <col width="14" customWidth="1" min="6" max="6"/>
  </cols>
  <sheetData>
    <row r="1">
      <c r="A1" s="10" t="inlineStr">
        <is>
          <t>REVENUE ANALYSIS</t>
        </is>
      </c>
    </row>
    <row r="3">
      <c r="A3" s="18" t="inlineStr">
        <is>
          <t>Floor</t>
        </is>
      </c>
      <c r="B3" s="18" t="inlineStr">
        <is>
          <t>Unit Type</t>
        </is>
      </c>
      <c r="C3" s="18" t="inlineStr">
        <is>
          <t>Units</t>
        </is>
      </c>
      <c r="D3" s="18" t="inlineStr">
        <is>
          <t>NSF</t>
        </is>
      </c>
      <c r="E3" s="18" t="inlineStr">
        <is>
          <t>$/SF</t>
        </is>
      </c>
      <c r="F3" s="18" t="inlineStr">
        <is>
          <t>Total Revenue</t>
        </is>
      </c>
    </row>
    <row r="4">
      <c r="A4" t="inlineStr">
        <is>
          <t>4-5</t>
        </is>
      </c>
      <c r="B4" t="inlineStr">
        <is>
          <t>Hospitality 2BR/1.5BA</t>
        </is>
      </c>
      <c r="C4" t="n">
        <v>32</v>
      </c>
      <c r="D4" s="12" t="n">
        <v>25200</v>
      </c>
      <c r="E4" s="13" t="n">
        <v>1200</v>
      </c>
      <c r="F4" s="3">
        <f>D4*E4</f>
        <v/>
      </c>
    </row>
    <row r="5">
      <c r="A5" t="inlineStr">
        <is>
          <t>6</t>
        </is>
      </c>
      <c r="B5" t="inlineStr">
        <is>
          <t>Hospitality 2BR/1.5BA</t>
        </is>
      </c>
      <c r="C5" t="n">
        <v>10</v>
      </c>
      <c r="D5" s="12" t="n">
        <v>8680</v>
      </c>
      <c r="E5" s="13" t="n">
        <v>1200</v>
      </c>
      <c r="F5" s="3">
        <f>D5*E5</f>
        <v/>
      </c>
    </row>
    <row r="6">
      <c r="A6" t="inlineStr">
        <is>
          <t>7</t>
        </is>
      </c>
      <c r="B6" t="inlineStr">
        <is>
          <t>Condos 3BR/2BA</t>
        </is>
      </c>
      <c r="C6" t="n">
        <v>8</v>
      </c>
      <c r="D6" s="12" t="n">
        <v>8680</v>
      </c>
      <c r="E6" s="13" t="n">
        <v>1200</v>
      </c>
      <c r="F6" s="3">
        <f>D6*E6</f>
        <v/>
      </c>
    </row>
    <row r="7">
      <c r="A7" t="inlineStr">
        <is>
          <t>1</t>
        </is>
      </c>
      <c r="B7" t="inlineStr">
        <is>
          <t>Chabad/Mikvah (at cost)</t>
        </is>
      </c>
      <c r="C7" t="n">
        <v>1</v>
      </c>
      <c r="D7" s="12" t="n">
        <v>10500</v>
      </c>
      <c r="E7" s="13" t="n">
        <v>400</v>
      </c>
      <c r="F7" s="3">
        <f>D7*E7</f>
        <v/>
      </c>
    </row>
    <row r="9">
      <c r="B9" s="5" t="inlineStr">
        <is>
          <t>TOTAL REVENUE</t>
        </is>
      </c>
      <c r="C9" s="17">
        <f>SUM(C4:C7)</f>
        <v/>
      </c>
      <c r="F9" s="6">
        <f>SUM(F4:F7)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NEVO TOWER - PROJECT DEAL STRUCTURE</t>
        </is>
      </c>
    </row>
    <row r="2">
      <c r="A2" s="29" t="inlineStr">
        <is>
          <t>Complete Partnership Structure, Financing, and Payout Waterfall</t>
        </is>
      </c>
    </row>
    <row r="4">
      <c r="A4" s="11" t="inlineStr">
        <is>
          <t>THE PARTIES</t>
        </is>
      </c>
    </row>
    <row r="5">
      <c r="A5" s="17" t="inlineStr">
        <is>
          <t>Simcha Connection (SC)</t>
        </is>
      </c>
      <c r="B5" t="inlineStr">
        <is>
          <t>Land Owner - 1580 79th St, North Bay Village</t>
        </is>
      </c>
      <c r="D5" t="inlineStr">
        <is>
          <t>$10M land value</t>
        </is>
      </c>
    </row>
    <row r="6">
      <c r="A6" s="17" t="inlineStr">
        <is>
          <t>Developer Partner</t>
        </is>
      </c>
      <c r="B6" t="inlineStr">
        <is>
          <t>Development partner sought by SC</t>
        </is>
      </c>
      <c r="D6" t="inlineStr">
        <is>
          <t>Cash + expertise</t>
        </is>
      </c>
    </row>
    <row r="7">
      <c r="A7" s="17" t="inlineStr"/>
      <c r="B7" t="inlineStr">
        <is>
          <t>Partnership is 50/50 profit split AFTER obligations</t>
        </is>
      </c>
    </row>
    <row r="9">
      <c r="A9" s="11" t="inlineStr">
        <is>
          <t>SC CONTRIBUTIONS &amp; PAYMENTS</t>
        </is>
      </c>
    </row>
    <row r="10">
      <c r="A10" s="17" t="inlineStr">
        <is>
          <t>Item</t>
        </is>
      </c>
      <c r="B10" s="17" t="inlineStr">
        <is>
          <t>Amount</t>
        </is>
      </c>
      <c r="C10" s="17" t="inlineStr">
        <is>
          <t>Timing</t>
        </is>
      </c>
      <c r="D10" s="17" t="inlineStr">
        <is>
          <t>Type</t>
        </is>
      </c>
      <c r="E10" s="17" t="inlineStr">
        <is>
          <t>Interest?</t>
        </is>
      </c>
    </row>
    <row r="11">
      <c r="A11" t="inlineStr">
        <is>
          <t>Land (In-Kind)</t>
        </is>
      </c>
      <c r="B11" t="inlineStr">
        <is>
          <t>$8,000,000</t>
        </is>
      </c>
      <c r="C11" t="inlineStr">
        <is>
          <t>Upfront</t>
        </is>
      </c>
      <c r="D11" t="inlineStr">
        <is>
          <t>Equity contribution</t>
        </is>
      </c>
      <c r="E11" t="inlineStr">
        <is>
          <t>NO</t>
        </is>
      </c>
    </row>
    <row r="12">
      <c r="A12" t="inlineStr">
        <is>
          <t>Cash to SC from Dev</t>
        </is>
      </c>
      <c r="B12" t="inlineStr">
        <is>
          <t>$1,250,000</t>
        </is>
      </c>
      <c r="C12" t="inlineStr">
        <is>
          <t>Month 0 (key money)</t>
        </is>
      </c>
      <c r="D12" t="inlineStr">
        <is>
          <t>Cash OUT to SC</t>
        </is>
      </c>
      <c r="E12" t="inlineStr">
        <is>
          <t>N/A</t>
        </is>
      </c>
    </row>
    <row r="13">
      <c r="A13" t="inlineStr">
        <is>
          <t>Cash to SC from Dev</t>
        </is>
      </c>
      <c r="B13" t="inlineStr">
        <is>
          <t>$750,000</t>
        </is>
      </c>
      <c r="C13" t="inlineStr">
        <is>
          <t>Month 6</t>
        </is>
      </c>
      <c r="D13" t="inlineStr">
        <is>
          <t>Cash OUT to SC</t>
        </is>
      </c>
      <c r="E13" t="inlineStr">
        <is>
          <t>N/A</t>
        </is>
      </c>
    </row>
    <row r="14">
      <c r="A14" t="inlineStr">
        <is>
          <t>Land Payment AT EXIT</t>
        </is>
      </c>
      <c r="B14" t="inlineStr">
        <is>
          <t>$8,000,000</t>
        </is>
      </c>
      <c r="C14" t="inlineStr">
        <is>
          <t>After all vendors paid</t>
        </is>
      </c>
      <c r="D14" t="inlineStr">
        <is>
          <t>From windfall</t>
        </is>
      </c>
      <c r="E14" s="30" t="inlineStr">
        <is>
          <t>NO!</t>
        </is>
      </c>
    </row>
    <row r="16">
      <c r="A16" s="11" t="inlineStr">
        <is>
          <t>FINANCING STRUCTURE</t>
        </is>
      </c>
    </row>
    <row r="17">
      <c r="A17" s="17" t="inlineStr">
        <is>
          <t>Source</t>
        </is>
      </c>
      <c r="B17" s="17" t="inlineStr">
        <is>
          <t>Amount</t>
        </is>
      </c>
      <c r="C17" s="17" t="inlineStr">
        <is>
          <t>Duration</t>
        </is>
      </c>
      <c r="D17" s="17" t="inlineStr">
        <is>
          <t>Purpose</t>
        </is>
      </c>
      <c r="E17" s="17" t="inlineStr">
        <is>
          <t>Cost</t>
        </is>
      </c>
    </row>
    <row r="18">
      <c r="A18" t="inlineStr">
        <is>
          <t>Developer Cash OUT to SC</t>
        </is>
      </c>
      <c r="B18" t="inlineStr">
        <is>
          <t>$2,000,000</t>
        </is>
      </c>
      <c r="C18" t="inlineStr">
        <is>
          <t>Upfront</t>
        </is>
      </c>
      <c r="D18" t="inlineStr">
        <is>
          <t>SC receives cash payments</t>
        </is>
      </c>
      <c r="E18" s="31" t="inlineStr">
        <is>
          <t>$0</t>
        </is>
      </c>
    </row>
    <row r="19">
      <c r="A19" t="inlineStr">
        <is>
          <t>Bridge Loan</t>
        </is>
      </c>
      <c r="B19" t="inlineStr">
        <is>
          <t>~$6,600,000</t>
        </is>
      </c>
      <c r="C19" t="inlineStr">
        <is>
          <t>9 months</t>
        </is>
      </c>
      <c r="D19" t="inlineStr">
        <is>
          <t>Construction subtotal only</t>
        </is>
      </c>
      <c r="E19" t="inlineStr">
        <is>
          <t>~$420K</t>
        </is>
      </c>
    </row>
    <row r="20">
      <c r="A20" t="inlineStr">
        <is>
          <t>Pre-Sales Deposits</t>
        </is>
      </c>
      <c r="B20" t="inlineStr">
        <is>
          <t>~$14,700,000</t>
        </is>
      </c>
      <c r="C20" t="inlineStr">
        <is>
          <t>Months 1-24</t>
        </is>
      </c>
      <c r="D20" t="inlineStr">
        <is>
          <t>Remaining construction</t>
        </is>
      </c>
      <c r="E20" s="31" t="inlineStr">
        <is>
          <t>$0</t>
        </is>
      </c>
    </row>
    <row r="21">
      <c r="A21" t="inlineStr">
        <is>
          <t>Vendor Terms</t>
        </is>
      </c>
      <c r="B21" t="inlineStr">
        <is>
          <t>Variable</t>
        </is>
      </c>
      <c r="C21" t="inlineStr">
        <is>
          <t>Ongoing</t>
        </is>
      </c>
      <c r="D21" t="inlineStr">
        <is>
          <t>GC/OH&amp;P/Contingencies</t>
        </is>
      </c>
      <c r="E21" s="31" t="inlineStr">
        <is>
          <t>$0</t>
        </is>
      </c>
    </row>
    <row r="22">
      <c r="A22" t="inlineStr">
        <is>
          <t>In-Kind Suppliers</t>
        </is>
      </c>
      <c r="B22" t="inlineStr">
        <is>
          <t>Variable</t>
        </is>
      </c>
      <c r="C22" t="inlineStr">
        <is>
          <t>Ongoing</t>
        </is>
      </c>
      <c r="D22" t="inlineStr">
        <is>
          <t>Materials at cost</t>
        </is>
      </c>
      <c r="E22" s="31" t="inlineStr">
        <is>
          <t>$0</t>
        </is>
      </c>
    </row>
    <row r="24">
      <c r="A24" s="32" t="inlineStr">
        <is>
          <t>KEY POINT:</t>
        </is>
      </c>
      <c r="B24" t="inlineStr">
        <is>
          <t>Pre-sales from Month 10+ cover ALL remaining construction costs</t>
        </is>
      </c>
    </row>
    <row r="26">
      <c r="A26" s="11" t="inlineStr">
        <is>
          <t>PAYMENT WATERFALL (AT PROJECT EXIT)</t>
        </is>
      </c>
    </row>
    <row r="27">
      <c r="A27" s="17" t="inlineStr">
        <is>
          <t>Priority</t>
        </is>
      </c>
      <c r="B27" s="17" t="inlineStr">
        <is>
          <t>Payee</t>
        </is>
      </c>
      <c r="C27" s="17" t="inlineStr">
        <is>
          <t>Amount</t>
        </is>
      </c>
      <c r="D27" s="17" t="inlineStr">
        <is>
          <t>Description</t>
        </is>
      </c>
    </row>
    <row r="28">
      <c r="A28" s="31" t="inlineStr">
        <is>
          <t>0</t>
        </is>
      </c>
      <c r="B28" t="inlineStr">
        <is>
          <t>Total Revenue</t>
        </is>
      </c>
      <c r="C28" t="inlineStr">
        <is>
          <t>$55,272,000</t>
        </is>
      </c>
      <c r="D28" t="inlineStr">
        <is>
          <t>Gross sales revenue from 50 units</t>
        </is>
      </c>
    </row>
    <row r="29">
      <c r="A29" t="inlineStr">
        <is>
          <t>1</t>
        </is>
      </c>
      <c r="B29" t="inlineStr">
        <is>
          <t>Bridge Loan Payoff</t>
        </is>
      </c>
      <c r="C29" t="inlineStr">
        <is>
          <t>~$420,000</t>
        </is>
      </c>
      <c r="D29" t="inlineStr">
        <is>
          <t>Principal + interest (if balance remains)</t>
        </is>
      </c>
    </row>
    <row r="30">
      <c r="A30" t="inlineStr">
        <is>
          <t>2</t>
        </is>
      </c>
      <c r="B30" t="inlineStr">
        <is>
          <t>Vendors/Contractors</t>
        </is>
      </c>
      <c r="C30" t="inlineStr">
        <is>
          <t>~$32,609,001</t>
        </is>
      </c>
      <c r="D30" t="inlineStr">
        <is>
          <t>All construction costs paid</t>
        </is>
      </c>
    </row>
    <row r="31">
      <c r="A31" t="inlineStr">
        <is>
          <t>3</t>
        </is>
      </c>
      <c r="B31" t="inlineStr">
        <is>
          <t>Soft Costs</t>
        </is>
      </c>
      <c r="C31" t="inlineStr">
        <is>
          <t>~$4,600,000</t>
        </is>
      </c>
      <c r="D31" t="inlineStr">
        <is>
          <t>A&amp;E, marketing, permits, etc.</t>
        </is>
      </c>
    </row>
    <row r="32">
      <c r="A32" s="33" t="inlineStr">
        <is>
          <t>4</t>
        </is>
      </c>
      <c r="B32" t="inlineStr">
        <is>
          <t>SC Land Payment</t>
        </is>
      </c>
      <c r="C32" t="inlineStr">
        <is>
          <t>$8,000,000</t>
        </is>
      </c>
      <c r="D32" t="inlineStr">
        <is>
          <t>NO INTEREST! Paid from windfall</t>
        </is>
      </c>
    </row>
    <row r="33">
      <c r="A33" s="33" t="inlineStr">
        <is>
          <t>5</t>
        </is>
      </c>
      <c r="B33" t="inlineStr">
        <is>
          <t>Remaining Windfall</t>
        </is>
      </c>
      <c r="C33" t="inlineStr">
        <is>
          <t>~$9,643,000</t>
        </is>
      </c>
      <c r="D33" t="inlineStr">
        <is>
          <t>Available for profit split</t>
        </is>
      </c>
    </row>
    <row r="34">
      <c r="A34" s="34" t="inlineStr">
        <is>
          <t>6</t>
        </is>
      </c>
      <c r="B34" t="inlineStr">
        <is>
          <t>SC Share (50%)</t>
        </is>
      </c>
      <c r="C34" t="inlineStr">
        <is>
          <t>~$4,821,500</t>
        </is>
      </c>
      <c r="D34" t="inlineStr">
        <is>
          <t>50% of windfall after all obligations</t>
        </is>
      </c>
    </row>
    <row r="35">
      <c r="A35" s="34" t="inlineStr">
        <is>
          <t>7</t>
        </is>
      </c>
      <c r="B35" t="inlineStr">
        <is>
          <t>Developer Share (50%)</t>
        </is>
      </c>
      <c r="C35" t="inlineStr">
        <is>
          <t>~$4,821,500</t>
        </is>
      </c>
      <c r="D35" t="inlineStr">
        <is>
          <t>50% of windfall after all obligations</t>
        </is>
      </c>
    </row>
    <row r="37">
      <c r="A37" s="11" t="inlineStr">
        <is>
          <t>DEVELOPER ECONOMICS</t>
        </is>
      </c>
    </row>
    <row r="38">
      <c r="A38" t="inlineStr">
        <is>
          <t>Cash OUT (Investment to SC)</t>
        </is>
      </c>
      <c r="B38" s="3" t="inlineStr">
        <is>
          <t>$2,000,000</t>
        </is>
      </c>
      <c r="D38" t="inlineStr">
        <is>
          <t>Paid to SC upfront</t>
        </is>
      </c>
    </row>
    <row r="39">
      <c r="A39" t="inlineStr">
        <is>
          <t>Cash IN (Return)</t>
        </is>
      </c>
      <c r="B39" s="3" t="inlineStr">
        <is>
          <t>~$4,821,500</t>
        </is>
      </c>
      <c r="D39" t="inlineStr">
        <is>
          <t>50% of windfall</t>
        </is>
      </c>
    </row>
    <row r="40">
      <c r="A40" s="17" t="inlineStr">
        <is>
          <t>Net Profit</t>
        </is>
      </c>
      <c r="B40" s="7" t="inlineStr">
        <is>
          <t>~$2,821,500</t>
        </is>
      </c>
      <c r="D40" t="inlineStr">
        <is>
          <t>$4.82M - $2M investment</t>
        </is>
      </c>
    </row>
    <row r="41">
      <c r="A41" s="5" t="inlineStr">
        <is>
          <t>ROI</t>
        </is>
      </c>
      <c r="B41" s="35" t="inlineStr">
        <is>
          <t>141%</t>
        </is>
      </c>
      <c r="D41" t="inlineStr">
        <is>
          <t>$2.82M profit / $2M investment</t>
        </is>
      </c>
    </row>
    <row r="43">
      <c r="A43" s="11" t="inlineStr">
        <is>
          <t>KEY DEAL BENEFITS</t>
        </is>
      </c>
    </row>
    <row r="44">
      <c r="A44" s="17" t="inlineStr">
        <is>
          <t>✓ NO INTEREST on $8M SC land payment</t>
        </is>
      </c>
      <c r="B44" t="inlineStr">
        <is>
          <t>Massive savings vs traditional land purchase</t>
        </is>
      </c>
    </row>
    <row r="45">
      <c r="A45" s="17" t="inlineStr">
        <is>
          <t>✓ Bridge loan only 9 months</t>
        </is>
      </c>
      <c r="B45" t="inlineStr">
        <is>
          <t>Pre-sales cover construction from Month 10+</t>
        </is>
      </c>
    </row>
    <row r="46">
      <c r="A46" s="17" t="inlineStr">
        <is>
          <t>✓ Vendor payment terms</t>
        </is>
      </c>
      <c r="B46" t="inlineStr">
        <is>
          <t>GC/OH&amp;P/contingencies funded by terms, not loan</t>
        </is>
      </c>
    </row>
    <row r="47">
      <c r="A47" s="17" t="inlineStr">
        <is>
          <t>✓ In-kind supplier opportunities</t>
        </is>
      </c>
      <c r="B47" t="inlineStr">
        <is>
          <t>Reduce cash needed with material contributions</t>
        </is>
      </c>
    </row>
    <row r="48">
      <c r="A48" s="17" t="inlineStr">
        <is>
          <t>✓ 141% ROI on $2M investment</t>
        </is>
      </c>
      <c r="B48" t="inlineStr">
        <is>
          <t>Developer gets $4.82M from $2M investment</t>
        </is>
      </c>
    </row>
    <row r="49">
      <c r="A49" s="17" t="inlineStr">
        <is>
          <t>✓ Pre-sales de-risk project</t>
        </is>
      </c>
      <c r="B49" t="inlineStr">
        <is>
          <t>Units sold before completion = guaranteed revenue</t>
        </is>
      </c>
    </row>
  </sheetData>
  <mergeCells count="15">
    <mergeCell ref="B45:E45"/>
    <mergeCell ref="A4:E4"/>
    <mergeCell ref="A26:E26"/>
    <mergeCell ref="A43:E43"/>
    <mergeCell ref="A2:E2"/>
    <mergeCell ref="A16:E16"/>
    <mergeCell ref="B49:E49"/>
    <mergeCell ref="B44:E44"/>
    <mergeCell ref="B48:E48"/>
    <mergeCell ref="A1:E1"/>
    <mergeCell ref="A37:E37"/>
    <mergeCell ref="B24:E24"/>
    <mergeCell ref="B47:E47"/>
    <mergeCell ref="B46:E46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13" customWidth="1" min="10" max="10"/>
    <col width="14" customWidth="1" min="11" max="11"/>
    <col width="11" customWidth="1" min="12" max="12"/>
    <col width="14" customWidth="1" min="13" max="13"/>
    <col width="14" customWidth="1" min="14" max="14"/>
    <col width="10" customWidth="1" min="15" max="15"/>
  </cols>
  <sheetData>
    <row r="1">
      <c r="A1" s="10" t="inlineStr">
        <is>
          <t>NEVO TOWER - 24-MONTH CASH FLOW WITH PRE-SALES</t>
        </is>
      </c>
    </row>
    <row r="2">
      <c r="A2" t="inlineStr">
        <is>
          <t>CASH (Mo 1-12) | IN-KIND (Mo 7-24) | Financing calculated dynamically</t>
        </is>
      </c>
    </row>
    <row r="4">
      <c r="A4" s="18" t="inlineStr">
        <is>
          <t>Month</t>
        </is>
      </c>
      <c r="B4" s="18" t="inlineStr">
        <is>
          <t>Activity</t>
        </is>
      </c>
      <c r="C4" s="18" t="inlineStr">
        <is>
          <t>Hard Cost</t>
        </is>
      </c>
      <c r="D4" s="18" t="inlineStr">
        <is>
          <t>CASH Soft</t>
        </is>
      </c>
      <c r="E4" s="18" t="inlineStr">
        <is>
          <t>IN-KIND Soft</t>
        </is>
      </c>
      <c r="F4" s="18" t="inlineStr">
        <is>
          <t>SC Cash</t>
        </is>
      </c>
      <c r="G4" s="18" t="inlineStr">
        <is>
          <t>Units Sold</t>
        </is>
      </c>
      <c r="H4" s="18" t="inlineStr">
        <is>
          <t>Pre-Sales $</t>
        </is>
      </c>
      <c r="I4" s="18" t="inlineStr">
        <is>
          <t>Usable (90%)</t>
        </is>
      </c>
      <c r="J4" s="18" t="inlineStr">
        <is>
          <t>Cash IN</t>
        </is>
      </c>
      <c r="K4" s="18" t="inlineStr">
        <is>
          <t>Net Flow</t>
        </is>
      </c>
      <c r="L4" s="18" t="inlineStr">
        <is>
          <t>Cumulative</t>
        </is>
      </c>
      <c r="M4" s="18" t="inlineStr">
        <is>
          <t>Bridge Bal</t>
        </is>
      </c>
      <c r="N4" s="18" t="inlineStr">
        <is>
          <t>Interest</t>
        </is>
      </c>
      <c r="O4" s="18" t="inlineStr">
        <is>
          <t>Final Cum</t>
        </is>
      </c>
    </row>
    <row r="5">
      <c r="A5" t="n">
        <v>1</v>
      </c>
      <c r="B5" t="inlineStr">
        <is>
          <t>Foundation</t>
        </is>
      </c>
      <c r="C5" s="3">
        <f>TotalHardCosts*0.03</f>
        <v/>
      </c>
      <c r="D5" s="3">
        <f>TotalCashSoftCosts/12</f>
        <v/>
      </c>
      <c r="E5" s="3" t="n">
        <v>0</v>
      </c>
      <c r="F5" s="3">
        <f>-LandPartner_Cash1</f>
        <v/>
      </c>
      <c r="G5" t="n">
        <v>1</v>
      </c>
      <c r="H5" s="3">
        <f>G5*(TotalRevenue/50)*0.25</f>
        <v/>
      </c>
      <c r="I5" s="3">
        <f>H5*0.90</f>
        <v/>
      </c>
      <c r="J5" s="3">
        <f>F5+I5</f>
        <v/>
      </c>
      <c r="K5" s="3">
        <f>J5-C5-D5-E5</f>
        <v/>
      </c>
      <c r="L5" s="3">
        <f>K5</f>
        <v/>
      </c>
      <c r="M5" s="36">
        <f>IF(L5&lt;0,-L5,0)</f>
        <v/>
      </c>
      <c r="N5" s="3">
        <f>M5*Finance_Rate/12</f>
        <v/>
      </c>
      <c r="O5" s="37">
        <f>L5-N5</f>
        <v/>
      </c>
    </row>
    <row r="6">
      <c r="A6" t="n">
        <v>2</v>
      </c>
      <c r="B6" t="inlineStr">
        <is>
          <t>Foundation</t>
        </is>
      </c>
      <c r="C6" s="3">
        <f>TotalHardCosts*0.04</f>
        <v/>
      </c>
      <c r="D6" s="3">
        <f>TotalCashSoftCosts/12</f>
        <v/>
      </c>
      <c r="E6" s="3" t="n">
        <v>0</v>
      </c>
      <c r="F6" s="3" t="n">
        <v>0</v>
      </c>
      <c r="G6" t="n">
        <v>2</v>
      </c>
      <c r="H6" s="3">
        <f>G6*(TotalRevenue/50)*0.25</f>
        <v/>
      </c>
      <c r="I6" s="3">
        <f>H6*0.90</f>
        <v/>
      </c>
      <c r="J6" s="3">
        <f>F6+I6</f>
        <v/>
      </c>
      <c r="K6" s="3">
        <f>J6-C6-D6-E6</f>
        <v/>
      </c>
      <c r="L6" s="3">
        <f>L5+K6</f>
        <v/>
      </c>
      <c r="M6" s="36">
        <f>IF(L6&lt;0,-L6,0)</f>
        <v/>
      </c>
      <c r="N6" s="3">
        <f>M6*Finance_Rate/12</f>
        <v/>
      </c>
      <c r="O6" s="37">
        <f>L6-N6</f>
        <v/>
      </c>
    </row>
    <row r="7">
      <c r="A7" t="n">
        <v>3</v>
      </c>
      <c r="B7" t="inlineStr">
        <is>
          <t>Site Work</t>
        </is>
      </c>
      <c r="C7" s="3">
        <f>TotalHardCosts*0.05</f>
        <v/>
      </c>
      <c r="D7" s="3">
        <f>TotalCashSoftCosts/12</f>
        <v/>
      </c>
      <c r="E7" s="3" t="n">
        <v>0</v>
      </c>
      <c r="F7" s="3" t="n">
        <v>0</v>
      </c>
      <c r="G7" t="n">
        <v>2</v>
      </c>
      <c r="H7" s="3">
        <f>G7*(TotalRevenue/50)*0.25</f>
        <v/>
      </c>
      <c r="I7" s="3">
        <f>H7*0.90</f>
        <v/>
      </c>
      <c r="J7" s="3">
        <f>F7+I7</f>
        <v/>
      </c>
      <c r="K7" s="3">
        <f>J7-C7-D7-E7</f>
        <v/>
      </c>
      <c r="L7" s="3">
        <f>L6+K7</f>
        <v/>
      </c>
      <c r="M7" s="36">
        <f>IF(L7&lt;0,-L7,0)</f>
        <v/>
      </c>
      <c r="N7" s="3">
        <f>M7*Finance_Rate/12</f>
        <v/>
      </c>
      <c r="O7" s="37">
        <f>L7-N7</f>
        <v/>
      </c>
    </row>
    <row r="8">
      <c r="A8" t="n">
        <v>4</v>
      </c>
      <c r="B8" t="inlineStr">
        <is>
          <t>Site Work</t>
        </is>
      </c>
      <c r="C8" s="3">
        <f>TotalHardCosts*0.06</f>
        <v/>
      </c>
      <c r="D8" s="3">
        <f>TotalCashSoftCosts/12</f>
        <v/>
      </c>
      <c r="E8" s="3" t="n">
        <v>0</v>
      </c>
      <c r="F8" s="3" t="n">
        <v>0</v>
      </c>
      <c r="G8" t="n">
        <v>3</v>
      </c>
      <c r="H8" s="3">
        <f>G8*(TotalRevenue/50)*0.25</f>
        <v/>
      </c>
      <c r="I8" s="3">
        <f>H8*0.90</f>
        <v/>
      </c>
      <c r="J8" s="3">
        <f>F8+I8</f>
        <v/>
      </c>
      <c r="K8" s="3">
        <f>J8-C8-D8-E8</f>
        <v/>
      </c>
      <c r="L8" s="3">
        <f>L7+K8</f>
        <v/>
      </c>
      <c r="M8" s="36">
        <f>IF(L8&lt;0,-L8,0)</f>
        <v/>
      </c>
      <c r="N8" s="3">
        <f>M8*Finance_Rate/12</f>
        <v/>
      </c>
      <c r="O8" s="37">
        <f>L8-N8</f>
        <v/>
      </c>
    </row>
    <row r="9">
      <c r="A9" t="n">
        <v>5</v>
      </c>
      <c r="B9" t="inlineStr">
        <is>
          <t>Superstructure</t>
        </is>
      </c>
      <c r="C9" s="3">
        <f>TotalHardCosts*0.07</f>
        <v/>
      </c>
      <c r="D9" s="3">
        <f>TotalCashSoftCosts/12</f>
        <v/>
      </c>
      <c r="E9" s="3" t="n">
        <v>0</v>
      </c>
      <c r="F9" s="3" t="n">
        <v>0</v>
      </c>
      <c r="G9" t="n">
        <v>3</v>
      </c>
      <c r="H9" s="3">
        <f>(G9*(TotalRevenue/50)*0.50)+(SUM($G$5:$G$8)*(TotalRevenue/50)*0.25)</f>
        <v/>
      </c>
      <c r="I9" s="3">
        <f>H9*0.90</f>
        <v/>
      </c>
      <c r="J9" s="3">
        <f>F9+I9</f>
        <v/>
      </c>
      <c r="K9" s="3">
        <f>J9-C9-D9-E9</f>
        <v/>
      </c>
      <c r="L9" s="3">
        <f>L8+K9</f>
        <v/>
      </c>
      <c r="M9" s="36">
        <f>IF(L9&lt;0,-L9,0)</f>
        <v/>
      </c>
      <c r="N9" s="3">
        <f>M9*Finance_Rate/12</f>
        <v/>
      </c>
      <c r="O9" s="37">
        <f>L9-N9</f>
        <v/>
      </c>
    </row>
    <row r="10">
      <c r="A10" t="n">
        <v>6</v>
      </c>
      <c r="B10" t="inlineStr">
        <is>
          <t>Superstructure</t>
        </is>
      </c>
      <c r="C10" s="3">
        <f>TotalHardCosts*0.08</f>
        <v/>
      </c>
      <c r="D10" s="3">
        <f>TotalCashSoftCosts/12</f>
        <v/>
      </c>
      <c r="E10" s="3" t="n">
        <v>0</v>
      </c>
      <c r="F10" s="3">
        <f>-LandPartner_Cash2</f>
        <v/>
      </c>
      <c r="G10" t="n">
        <v>3</v>
      </c>
      <c r="H10" s="3">
        <f>G10*(TotalRevenue/50)*0.50</f>
        <v/>
      </c>
      <c r="I10" s="3">
        <f>H10*0.90</f>
        <v/>
      </c>
      <c r="J10" s="3">
        <f>F10+I10</f>
        <v/>
      </c>
      <c r="K10" s="3">
        <f>J10-C10-D10-E10</f>
        <v/>
      </c>
      <c r="L10" s="3">
        <f>L9+K10</f>
        <v/>
      </c>
      <c r="M10" s="36">
        <f>IF(L10&lt;0,-L10,0)</f>
        <v/>
      </c>
      <c r="N10" s="3">
        <f>M10*Finance_Rate/12</f>
        <v/>
      </c>
      <c r="O10" s="37">
        <f>L10-N10</f>
        <v/>
      </c>
    </row>
    <row r="11">
      <c r="A11" t="n">
        <v>7</v>
      </c>
      <c r="B11" t="inlineStr">
        <is>
          <t>Superstructure</t>
        </is>
      </c>
      <c r="C11" s="3">
        <f>TotalHardCosts*0.08</f>
        <v/>
      </c>
      <c r="D11" s="3">
        <f>TotalCashSoftCosts/12</f>
        <v/>
      </c>
      <c r="E11" s="3">
        <f>TotalInKindCosts/18</f>
        <v/>
      </c>
      <c r="F11" s="3" t="n">
        <v>0</v>
      </c>
      <c r="G11" t="n">
        <v>4</v>
      </c>
      <c r="H11" s="3">
        <f>G11*(TotalRevenue/50)*0.50</f>
        <v/>
      </c>
      <c r="I11" s="3">
        <f>H11*0.90</f>
        <v/>
      </c>
      <c r="J11" s="3">
        <f>F11+I11</f>
        <v/>
      </c>
      <c r="K11" s="3">
        <f>J11-C11-D11-E11</f>
        <v/>
      </c>
      <c r="L11" s="3">
        <f>L10+K11</f>
        <v/>
      </c>
      <c r="M11" s="36">
        <f>IF(L11&lt;0,-L11,0)</f>
        <v/>
      </c>
      <c r="N11" s="3">
        <f>M11*Finance_Rate/12</f>
        <v/>
      </c>
      <c r="O11" s="37">
        <f>L11-N11</f>
        <v/>
      </c>
    </row>
    <row r="12">
      <c r="A12" t="n">
        <v>8</v>
      </c>
      <c r="B12" t="inlineStr">
        <is>
          <t>Superstructure</t>
        </is>
      </c>
      <c r="C12" s="3">
        <f>TotalHardCosts*0.07</f>
        <v/>
      </c>
      <c r="D12" s="3">
        <f>TotalCashSoftCosts/12</f>
        <v/>
      </c>
      <c r="E12" s="3">
        <f>TotalInKindCosts/18</f>
        <v/>
      </c>
      <c r="F12" s="3" t="n">
        <v>0</v>
      </c>
      <c r="G12" t="n">
        <v>4</v>
      </c>
      <c r="H12" s="3">
        <f>G12*(TotalRevenue/50)*0.50</f>
        <v/>
      </c>
      <c r="I12" s="3">
        <f>H12*0.90</f>
        <v/>
      </c>
      <c r="J12" s="3">
        <f>F12+I12</f>
        <v/>
      </c>
      <c r="K12" s="3">
        <f>J12-C12-D12-E12</f>
        <v/>
      </c>
      <c r="L12" s="3">
        <f>L11+K12</f>
        <v/>
      </c>
      <c r="M12" s="36">
        <f>IF(L12&lt;0,-L12,0)</f>
        <v/>
      </c>
      <c r="N12" s="3">
        <f>M12*Finance_Rate/12</f>
        <v/>
      </c>
      <c r="O12" s="37">
        <f>L12-N12</f>
        <v/>
      </c>
    </row>
    <row r="13">
      <c r="A13" t="n">
        <v>9</v>
      </c>
      <c r="B13" t="inlineStr">
        <is>
          <t>Envelope</t>
        </is>
      </c>
      <c r="C13" s="3">
        <f>TotalHardCosts*0.06</f>
        <v/>
      </c>
      <c r="D13" s="3">
        <f>TotalCashSoftCosts/12</f>
        <v/>
      </c>
      <c r="E13" s="3">
        <f>TotalInKindCosts/18</f>
        <v/>
      </c>
      <c r="F13" s="3" t="n">
        <v>0</v>
      </c>
      <c r="G13" t="n">
        <v>4</v>
      </c>
      <c r="H13" s="3">
        <f>(G13*(TotalRevenue/50)*0.75)+(SUM($G$5:$G$12)*(TotalRevenue/50)*0.25)</f>
        <v/>
      </c>
      <c r="I13" s="3">
        <f>H13*0.90</f>
        <v/>
      </c>
      <c r="J13" s="3">
        <f>F13+I13</f>
        <v/>
      </c>
      <c r="K13" s="3">
        <f>J13-C13-D13-E13</f>
        <v/>
      </c>
      <c r="L13" s="3">
        <f>L12+K13</f>
        <v/>
      </c>
      <c r="M13" s="36">
        <f>IF(L13&lt;0,-L13,0)</f>
        <v/>
      </c>
      <c r="N13" s="3">
        <f>M13*Finance_Rate/12</f>
        <v/>
      </c>
      <c r="O13" s="37">
        <f>L13-N13</f>
        <v/>
      </c>
    </row>
    <row r="14">
      <c r="A14" t="n">
        <v>10</v>
      </c>
      <c r="B14" t="inlineStr">
        <is>
          <t>Envelope</t>
        </is>
      </c>
      <c r="C14" s="3">
        <f>TotalHardCosts*0.06</f>
        <v/>
      </c>
      <c r="D14" s="3">
        <f>TotalCashSoftCosts/12</f>
        <v/>
      </c>
      <c r="E14" s="3">
        <f>TotalInKindCosts/18</f>
        <v/>
      </c>
      <c r="F14" s="3" t="n">
        <v>0</v>
      </c>
      <c r="G14" t="n">
        <v>4</v>
      </c>
      <c r="H14" s="3">
        <f>G14*(TotalRevenue/50)*0.75</f>
        <v/>
      </c>
      <c r="I14" s="3">
        <f>H14*0.90</f>
        <v/>
      </c>
      <c r="J14" s="3">
        <f>F14+I14</f>
        <v/>
      </c>
      <c r="K14" s="3">
        <f>J14-C14-D14-E14</f>
        <v/>
      </c>
      <c r="L14" s="3">
        <f>L13+K14</f>
        <v/>
      </c>
      <c r="M14" s="36">
        <f>IF(L14&lt;0,-L14,0)</f>
        <v/>
      </c>
      <c r="N14" s="3">
        <f>M14*Finance_Rate/12</f>
        <v/>
      </c>
      <c r="O14" s="37">
        <f>L14-N14</f>
        <v/>
      </c>
    </row>
    <row r="15">
      <c r="A15" t="n">
        <v>11</v>
      </c>
      <c r="B15" t="inlineStr">
        <is>
          <t>MEP Rough-In</t>
        </is>
      </c>
      <c r="C15" s="3">
        <f>TotalHardCosts*0.05</f>
        <v/>
      </c>
      <c r="D15" s="3">
        <f>TotalCashSoftCosts/12</f>
        <v/>
      </c>
      <c r="E15" s="3">
        <f>TotalInKindCosts/18</f>
        <v/>
      </c>
      <c r="F15" s="3" t="n">
        <v>0</v>
      </c>
      <c r="G15" t="n">
        <v>3</v>
      </c>
      <c r="H15" s="3">
        <f>G15*(TotalRevenue/50)*0.75</f>
        <v/>
      </c>
      <c r="I15" s="3">
        <f>H15*0.90</f>
        <v/>
      </c>
      <c r="J15" s="3">
        <f>F15+I15</f>
        <v/>
      </c>
      <c r="K15" s="3">
        <f>J15-C15-D15-E15</f>
        <v/>
      </c>
      <c r="L15" s="3">
        <f>L14+K15</f>
        <v/>
      </c>
      <c r="M15" s="36">
        <f>IF(L15&lt;0,-L15,0)</f>
        <v/>
      </c>
      <c r="N15" s="3">
        <f>M15*Finance_Rate/12</f>
        <v/>
      </c>
      <c r="O15" s="37">
        <f>L15-N15</f>
        <v/>
      </c>
    </row>
    <row r="16">
      <c r="A16" t="n">
        <v>12</v>
      </c>
      <c r="B16" t="inlineStr">
        <is>
          <t>MEP Rough-In</t>
        </is>
      </c>
      <c r="C16" s="3">
        <f>TotalHardCosts*0.05</f>
        <v/>
      </c>
      <c r="D16" s="3">
        <f>TotalCashSoftCosts/12</f>
        <v/>
      </c>
      <c r="E16" s="3">
        <f>TotalInKindCosts/18</f>
        <v/>
      </c>
      <c r="F16" s="3" t="n">
        <v>0</v>
      </c>
      <c r="G16" t="n">
        <v>3</v>
      </c>
      <c r="H16" s="3">
        <f>G16*(TotalRevenue/50)*0.75</f>
        <v/>
      </c>
      <c r="I16" s="3">
        <f>H16*0.90</f>
        <v/>
      </c>
      <c r="J16" s="3">
        <f>F16+I16</f>
        <v/>
      </c>
      <c r="K16" s="3">
        <f>J16-C16-D16-E16</f>
        <v/>
      </c>
      <c r="L16" s="3">
        <f>L15+K16</f>
        <v/>
      </c>
      <c r="M16" s="36">
        <f>IF(L16&lt;0,-L16,0)</f>
        <v/>
      </c>
      <c r="N16" s="3">
        <f>M16*Finance_Rate/12</f>
        <v/>
      </c>
      <c r="O16" s="37">
        <f>L16-N16</f>
        <v/>
      </c>
    </row>
    <row r="17">
      <c r="A17" t="n">
        <v>13</v>
      </c>
      <c r="B17" t="inlineStr">
        <is>
          <t>MEP Install</t>
        </is>
      </c>
      <c r="C17" s="3">
        <f>TotalHardCosts*0.04</f>
        <v/>
      </c>
      <c r="D17" s="3" t="n">
        <v>0</v>
      </c>
      <c r="E17" s="3">
        <f>TotalInKindCosts/18</f>
        <v/>
      </c>
      <c r="F17" s="3" t="n">
        <v>0</v>
      </c>
      <c r="G17" t="n">
        <v>2</v>
      </c>
      <c r="H17" s="3">
        <f>G17*(TotalRevenue/50)*0.75</f>
        <v/>
      </c>
      <c r="I17" s="3">
        <f>H17*0.90</f>
        <v/>
      </c>
      <c r="J17" s="3">
        <f>F17+I17</f>
        <v/>
      </c>
      <c r="K17" s="3">
        <f>J17-C17-D17-E17</f>
        <v/>
      </c>
      <c r="L17" s="3">
        <f>L16+K17</f>
        <v/>
      </c>
      <c r="M17" s="36">
        <f>IF(L17&lt;0,-L17,0)</f>
        <v/>
      </c>
      <c r="N17" s="3">
        <f>M17*Finance_Rate/12</f>
        <v/>
      </c>
      <c r="O17" s="37">
        <f>L17-N17</f>
        <v/>
      </c>
    </row>
    <row r="18">
      <c r="A18" t="n">
        <v>14</v>
      </c>
      <c r="B18" t="inlineStr">
        <is>
          <t>MEP Install</t>
        </is>
      </c>
      <c r="C18" s="3">
        <f>TotalHardCosts*0.04</f>
        <v/>
      </c>
      <c r="D18" s="3" t="n">
        <v>0</v>
      </c>
      <c r="E18" s="3">
        <f>TotalInKindCosts/18</f>
        <v/>
      </c>
      <c r="F18" s="3" t="n">
        <v>0</v>
      </c>
      <c r="G18" t="n">
        <v>2</v>
      </c>
      <c r="H18" s="3">
        <f>G18*(TotalRevenue/50)*0.75</f>
        <v/>
      </c>
      <c r="I18" s="3">
        <f>H18*0.90</f>
        <v/>
      </c>
      <c r="J18" s="3">
        <f>F18+I18</f>
        <v/>
      </c>
      <c r="K18" s="3">
        <f>J18-C18-D18-E18</f>
        <v/>
      </c>
      <c r="L18" s="3">
        <f>L17+K18</f>
        <v/>
      </c>
      <c r="M18" s="36">
        <f>IF(L18&lt;0,-L18,0)</f>
        <v/>
      </c>
      <c r="N18" s="3">
        <f>M18*Finance_Rate/12</f>
        <v/>
      </c>
      <c r="O18" s="37">
        <f>L18-N18</f>
        <v/>
      </c>
    </row>
    <row r="19">
      <c r="A19" t="n">
        <v>15</v>
      </c>
      <c r="B19" t="inlineStr">
        <is>
          <t>Interior Framing</t>
        </is>
      </c>
      <c r="C19" s="3">
        <f>TotalHardCosts*0.03</f>
        <v/>
      </c>
      <c r="D19" s="3" t="n">
        <v>0</v>
      </c>
      <c r="E19" s="3">
        <f>TotalInKindCosts/18</f>
        <v/>
      </c>
      <c r="F19" s="3" t="n">
        <v>0</v>
      </c>
      <c r="G19" t="n">
        <v>2</v>
      </c>
      <c r="H19" s="3">
        <f>G19*(TotalRevenue/50)*0.75</f>
        <v/>
      </c>
      <c r="I19" s="3">
        <f>H19*0.90</f>
        <v/>
      </c>
      <c r="J19" s="3">
        <f>F19+I19</f>
        <v/>
      </c>
      <c r="K19" s="3">
        <f>J19-C19-D19-E19</f>
        <v/>
      </c>
      <c r="L19" s="3">
        <f>L18+K19</f>
        <v/>
      </c>
      <c r="M19" s="36">
        <f>IF(L19&lt;0,-L19,0)</f>
        <v/>
      </c>
      <c r="N19" s="3">
        <f>M19*Finance_Rate/12</f>
        <v/>
      </c>
      <c r="O19" s="37">
        <f>L19-N19</f>
        <v/>
      </c>
    </row>
    <row r="20">
      <c r="A20" t="n">
        <v>16</v>
      </c>
      <c r="B20" t="inlineStr">
        <is>
          <t>Interior Framing</t>
        </is>
      </c>
      <c r="C20" s="3">
        <f>TotalHardCosts*0.03</f>
        <v/>
      </c>
      <c r="D20" s="3" t="n">
        <v>0</v>
      </c>
      <c r="E20" s="3">
        <f>TotalInKindCosts/18</f>
        <v/>
      </c>
      <c r="F20" s="3" t="n">
        <v>0</v>
      </c>
      <c r="G20" t="n">
        <v>2</v>
      </c>
      <c r="H20" s="3">
        <f>G20*(TotalRevenue/50)*0.75</f>
        <v/>
      </c>
      <c r="I20" s="3">
        <f>H20*0.90</f>
        <v/>
      </c>
      <c r="J20" s="3">
        <f>F20+I20</f>
        <v/>
      </c>
      <c r="K20" s="3">
        <f>J20-C20-D20-E20</f>
        <v/>
      </c>
      <c r="L20" s="3">
        <f>L19+K20</f>
        <v/>
      </c>
      <c r="M20" s="36">
        <f>IF(L20&lt;0,-L20,0)</f>
        <v/>
      </c>
      <c r="N20" s="3">
        <f>M20*Finance_Rate/12</f>
        <v/>
      </c>
      <c r="O20" s="37">
        <f>L20-N20</f>
        <v/>
      </c>
    </row>
    <row r="21">
      <c r="A21" t="n">
        <v>17</v>
      </c>
      <c r="B21" t="inlineStr">
        <is>
          <t>Finishes</t>
        </is>
      </c>
      <c r="C21" s="3">
        <f>TotalHardCosts*0.03</f>
        <v/>
      </c>
      <c r="D21" s="3" t="n">
        <v>0</v>
      </c>
      <c r="E21" s="3">
        <f>TotalInKindCosts/18</f>
        <v/>
      </c>
      <c r="F21" s="3" t="n">
        <v>0</v>
      </c>
      <c r="G21" t="n">
        <v>1</v>
      </c>
      <c r="H21" s="3">
        <f>G21*(TotalRevenue/50)*0.75</f>
        <v/>
      </c>
      <c r="I21" s="3">
        <f>H21*0.90</f>
        <v/>
      </c>
      <c r="J21" s="3">
        <f>F21+I21</f>
        <v/>
      </c>
      <c r="K21" s="3">
        <f>J21-C21-D21-E21</f>
        <v/>
      </c>
      <c r="L21" s="3">
        <f>L20+K21</f>
        <v/>
      </c>
      <c r="M21" s="36">
        <f>IF(L21&lt;0,-L21,0)</f>
        <v/>
      </c>
      <c r="N21" s="3">
        <f>M21*Finance_Rate/12</f>
        <v/>
      </c>
      <c r="O21" s="37">
        <f>L21-N21</f>
        <v/>
      </c>
    </row>
    <row r="22">
      <c r="A22" t="n">
        <v>18</v>
      </c>
      <c r="B22" t="inlineStr">
        <is>
          <t>Finishes</t>
        </is>
      </c>
      <c r="C22" s="3">
        <f>TotalHardCosts*0.03</f>
        <v/>
      </c>
      <c r="D22" s="3" t="n">
        <v>0</v>
      </c>
      <c r="E22" s="3">
        <f>TotalInKindCosts/18</f>
        <v/>
      </c>
      <c r="F22" s="3" t="n">
        <v>0</v>
      </c>
      <c r="G22" t="n">
        <v>1</v>
      </c>
      <c r="H22" s="3">
        <f>G22*(TotalRevenue/50)*0.75</f>
        <v/>
      </c>
      <c r="I22" s="3">
        <f>H22*0.90</f>
        <v/>
      </c>
      <c r="J22" s="3">
        <f>F22+I22</f>
        <v/>
      </c>
      <c r="K22" s="3">
        <f>J22-C22-D22-E22</f>
        <v/>
      </c>
      <c r="L22" s="3">
        <f>L21+K22</f>
        <v/>
      </c>
      <c r="M22" s="36">
        <f>IF(L22&lt;0,-L22,0)</f>
        <v/>
      </c>
      <c r="N22" s="3">
        <f>M22*Finance_Rate/12</f>
        <v/>
      </c>
      <c r="O22" s="37">
        <f>L22-N22</f>
        <v/>
      </c>
    </row>
    <row r="23">
      <c r="A23" t="n">
        <v>19</v>
      </c>
      <c r="B23" t="inlineStr">
        <is>
          <t>Fixtures</t>
        </is>
      </c>
      <c r="C23" s="3">
        <f>TotalHardCosts*0.02</f>
        <v/>
      </c>
      <c r="D23" s="3" t="n">
        <v>0</v>
      </c>
      <c r="E23" s="3">
        <f>TotalInKindCosts/18</f>
        <v/>
      </c>
      <c r="F23" s="3" t="n">
        <v>0</v>
      </c>
      <c r="G23" t="n">
        <v>1</v>
      </c>
      <c r="H23" s="3">
        <f>G23*(TotalRevenue/50)*0.75</f>
        <v/>
      </c>
      <c r="I23" s="3">
        <f>H23*0.90</f>
        <v/>
      </c>
      <c r="J23" s="3">
        <f>F23+I23</f>
        <v/>
      </c>
      <c r="K23" s="3">
        <f>J23-C23-D23-E23</f>
        <v/>
      </c>
      <c r="L23" s="3">
        <f>L22+K23</f>
        <v/>
      </c>
      <c r="M23" s="36">
        <f>IF(L23&lt;0,-L23,0)</f>
        <v/>
      </c>
      <c r="N23" s="3">
        <f>M23*Finance_Rate/12</f>
        <v/>
      </c>
      <c r="O23" s="37">
        <f>L23-N23</f>
        <v/>
      </c>
    </row>
    <row r="24">
      <c r="A24" t="n">
        <v>20</v>
      </c>
      <c r="B24" t="inlineStr">
        <is>
          <t>Fixtures</t>
        </is>
      </c>
      <c r="C24" s="3">
        <f>TotalHardCosts*0.02</f>
        <v/>
      </c>
      <c r="D24" s="3" t="n">
        <v>0</v>
      </c>
      <c r="E24" s="3">
        <f>TotalInKindCosts/18</f>
        <v/>
      </c>
      <c r="F24" s="3" t="n">
        <v>0</v>
      </c>
      <c r="G24" t="n">
        <v>1</v>
      </c>
      <c r="H24" s="3">
        <f>G24*(TotalRevenue/50)*0.75</f>
        <v/>
      </c>
      <c r="I24" s="3">
        <f>H24*0.90</f>
        <v/>
      </c>
      <c r="J24" s="3">
        <f>F24+I24</f>
        <v/>
      </c>
      <c r="K24" s="3">
        <f>J24-C24-D24-E24</f>
        <v/>
      </c>
      <c r="L24" s="3">
        <f>L23+K24</f>
        <v/>
      </c>
      <c r="M24" s="36">
        <f>IF(L24&lt;0,-L24,0)</f>
        <v/>
      </c>
      <c r="N24" s="3">
        <f>M24*Finance_Rate/12</f>
        <v/>
      </c>
      <c r="O24" s="37">
        <f>L24-N24</f>
        <v/>
      </c>
    </row>
    <row r="25">
      <c r="A25" t="n">
        <v>21</v>
      </c>
      <c r="B25" t="inlineStr">
        <is>
          <t>Closeout</t>
        </is>
      </c>
      <c r="C25" s="3">
        <f>TotalHardCosts*0.02</f>
        <v/>
      </c>
      <c r="D25" s="3" t="n">
        <v>0</v>
      </c>
      <c r="E25" s="3">
        <f>TotalInKindCosts/18</f>
        <v/>
      </c>
      <c r="F25" s="3" t="n">
        <v>0</v>
      </c>
      <c r="G25" t="n">
        <v>1</v>
      </c>
      <c r="H25" s="3">
        <f>(G25*(TotalRevenue/50)*1.00)+(SUM($G$5:$G$24)*(TotalRevenue/50)*0.25)</f>
        <v/>
      </c>
      <c r="I25" s="3">
        <f>H25*0.90</f>
        <v/>
      </c>
      <c r="J25" s="3">
        <f>F25+I25</f>
        <v/>
      </c>
      <c r="K25" s="3">
        <f>J25-C25-D25-E25</f>
        <v/>
      </c>
      <c r="L25" s="3">
        <f>L24+K25</f>
        <v/>
      </c>
      <c r="M25" s="36">
        <f>IF(L25&lt;0,-L25,0)</f>
        <v/>
      </c>
      <c r="N25" s="3">
        <f>M25*Finance_Rate/12</f>
        <v/>
      </c>
      <c r="O25" s="37">
        <f>L25-N25</f>
        <v/>
      </c>
    </row>
    <row r="26">
      <c r="A26" t="n">
        <v>22</v>
      </c>
      <c r="B26" t="inlineStr">
        <is>
          <t>Punch List</t>
        </is>
      </c>
      <c r="C26" s="3">
        <f>TotalHardCosts*0.02</f>
        <v/>
      </c>
      <c r="D26" s="3" t="n">
        <v>0</v>
      </c>
      <c r="E26" s="3">
        <f>TotalInKindCosts/18</f>
        <v/>
      </c>
      <c r="F26" s="3" t="n">
        <v>0</v>
      </c>
      <c r="G26" t="n">
        <v>1</v>
      </c>
      <c r="H26" s="3">
        <f>G26*(TotalRevenue/50)*1.00</f>
        <v/>
      </c>
      <c r="I26" s="3">
        <f>H26*0.90</f>
        <v/>
      </c>
      <c r="J26" s="3">
        <f>F26+I26</f>
        <v/>
      </c>
      <c r="K26" s="3">
        <f>J26-C26-D26-E26</f>
        <v/>
      </c>
      <c r="L26" s="3">
        <f>L25+K26</f>
        <v/>
      </c>
      <c r="M26" s="36">
        <f>IF(L26&lt;0,-L26,0)</f>
        <v/>
      </c>
      <c r="N26" s="3">
        <f>M26*Finance_Rate/12</f>
        <v/>
      </c>
      <c r="O26" s="37">
        <f>L26-N26</f>
        <v/>
      </c>
    </row>
    <row r="27">
      <c r="A27" t="n">
        <v>23</v>
      </c>
      <c r="B27" t="inlineStr">
        <is>
          <t>Final Inspection</t>
        </is>
      </c>
      <c r="C27" s="3">
        <f>TotalHardCosts*0.01</f>
        <v/>
      </c>
      <c r="D27" s="3" t="n">
        <v>0</v>
      </c>
      <c r="E27" s="3">
        <f>TotalInKindCosts/18</f>
        <v/>
      </c>
      <c r="F27" s="3" t="n">
        <v>0</v>
      </c>
      <c r="G27" t="n">
        <v>0</v>
      </c>
      <c r="H27" s="3">
        <f>G27*(TotalRevenue/50)*1.00</f>
        <v/>
      </c>
      <c r="I27" s="3">
        <f>H27*0.90</f>
        <v/>
      </c>
      <c r="J27" s="3">
        <f>F27+I27</f>
        <v/>
      </c>
      <c r="K27" s="3">
        <f>J27-C27-D27-E27</f>
        <v/>
      </c>
      <c r="L27" s="3">
        <f>L26+K27</f>
        <v/>
      </c>
      <c r="M27" s="36">
        <f>IF(L27&lt;0,-L27,0)</f>
        <v/>
      </c>
      <c r="N27" s="3">
        <f>M27*Finance_Rate/12</f>
        <v/>
      </c>
      <c r="O27" s="37">
        <f>L27-N27</f>
        <v/>
      </c>
    </row>
    <row r="28">
      <c r="A28" t="n">
        <v>24</v>
      </c>
      <c r="B28" t="inlineStr">
        <is>
          <t>CO &amp; Turnover</t>
        </is>
      </c>
      <c r="C28" s="3">
        <f>TotalHardCosts*0.01</f>
        <v/>
      </c>
      <c r="D28" s="3" t="n">
        <v>0</v>
      </c>
      <c r="E28" s="3">
        <f>TotalInKindCosts/18</f>
        <v/>
      </c>
      <c r="F28" s="3" t="n">
        <v>0</v>
      </c>
      <c r="G28" t="n">
        <v>0</v>
      </c>
      <c r="H28" s="3">
        <f>G28*(TotalRevenue/50)*1.00</f>
        <v/>
      </c>
      <c r="I28" s="3">
        <f>H28+(SUM($H$5:$H$27)*0.10)</f>
        <v/>
      </c>
      <c r="J28" s="3">
        <f>F28+I28</f>
        <v/>
      </c>
      <c r="K28" s="3">
        <f>J28-C28-D28-E28</f>
        <v/>
      </c>
      <c r="L28" s="3">
        <f>L27+K28</f>
        <v/>
      </c>
      <c r="M28" s="36">
        <f>IF(L28&lt;0,-L28,0)</f>
        <v/>
      </c>
      <c r="N28" s="3">
        <f>M28*Finance_Rate/12</f>
        <v/>
      </c>
      <c r="O28" s="37">
        <f>L28-N28</f>
        <v/>
      </c>
    </row>
    <row r="30">
      <c r="A30" s="5" t="inlineStr">
        <is>
          <t>TOTALS:</t>
        </is>
      </c>
      <c r="C30" s="7">
        <f>SUM(C5:C28)</f>
        <v/>
      </c>
      <c r="D30" s="7">
        <f>SUM(D5:D28)</f>
        <v/>
      </c>
      <c r="E30" s="7">
        <f>SUM(E5:E28)</f>
        <v/>
      </c>
      <c r="F30" s="7">
        <f>SUM(F5:F28)</f>
        <v/>
      </c>
      <c r="G30" s="17">
        <f>SUM(G5:G28)</f>
        <v/>
      </c>
      <c r="H30" s="7">
        <f>SUM(H5:H28)</f>
        <v/>
      </c>
      <c r="I30" s="7">
        <f>SUM(I5:I28)</f>
        <v/>
      </c>
      <c r="J30" s="7">
        <f>SUM(J5:J28)</f>
        <v/>
      </c>
      <c r="K30" s="7">
        <f>SUM(K5:K28)</f>
        <v/>
      </c>
      <c r="N30" s="7">
        <f>SUM(N5:N28)</f>
        <v/>
      </c>
    </row>
    <row r="32">
      <c r="A32" s="38" t="inlineStr">
        <is>
          <t>MAX BRIDGE LOAN NEEDED:</t>
        </is>
      </c>
      <c r="B32" s="39">
        <f>MAX(M5:M28)</f>
        <v/>
      </c>
    </row>
    <row r="33">
      <c r="A33" s="38" t="inlineStr">
        <is>
          <t>TOTAL FINANCING COSTS (9% Interest):</t>
        </is>
      </c>
      <c r="B33" s="39">
        <f>N30</f>
        <v/>
      </c>
    </row>
    <row r="35">
      <c r="A35" s="40" t="inlineStr">
        <is>
          <t>TIE-OUT: FINAL CUMULATIVE = GROSS PROFIT</t>
        </is>
      </c>
      <c r="B35" t="inlineStr">
        <is>
          <t>Final Cumulative (Month 24) =</t>
        </is>
      </c>
      <c r="C35" s="7">
        <f>O28</f>
        <v/>
      </c>
      <c r="D35" t="inlineStr">
        <is>
          <t>Gross Profit (Summary) =</t>
        </is>
      </c>
      <c r="E35" s="7">
        <f>GrossProfit</f>
        <v/>
      </c>
      <c r="F35" t="inlineStr">
        <is>
          <t>Difference =</t>
        </is>
      </c>
      <c r="G35" s="7">
        <f>C35-E35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20" customWidth="1" min="3" max="3"/>
    <col width="13" customWidth="1" min="4" max="4"/>
    <col width="17" customWidth="1" min="5" max="5"/>
    <col width="19" customWidth="1" min="6" max="6"/>
    <col width="34" customWidth="1" min="7" max="7"/>
    <col width="10" customWidth="1" min="8" max="8"/>
  </cols>
  <sheetData>
    <row r="1">
      <c r="A1" s="10" t="inlineStr">
        <is>
          <t>GENERAL CONTRACTOR - REQUEST FOR QUOTE SUMMARY</t>
        </is>
      </c>
    </row>
    <row r="2">
      <c r="A2" t="inlineStr">
        <is>
          <t>NEVO Tower - 1580 79th St Causeway, North Bay Village, FL</t>
        </is>
      </c>
    </row>
    <row r="3">
      <c r="A3" t="inlineStr">
        <is>
          <t>Total Project: 108,675 GSF | 7 Stories + Rooftop | 50 Residential Units</t>
        </is>
      </c>
    </row>
    <row r="5">
      <c r="A5" s="18" t="inlineStr">
        <is>
          <t>CSI DIVISION BREAKDOWN - MATERIALS, LABOR &amp; WORKFORCE</t>
        </is>
      </c>
    </row>
    <row r="6">
      <c r="A6" s="18" t="inlineStr">
        <is>
          <t>CSI</t>
        </is>
      </c>
      <c r="B6" s="18" t="inlineStr">
        <is>
          <t>Description</t>
        </is>
      </c>
      <c r="C6" s="18" t="inlineStr">
        <is>
          <t>Total Cost</t>
        </is>
      </c>
      <c r="D6" s="18" t="inlineStr">
        <is>
          <t>Materials %</t>
        </is>
      </c>
      <c r="E6" s="18" t="inlineStr">
        <is>
          <t>Labor %</t>
        </is>
      </c>
      <c r="F6" s="18" t="inlineStr">
        <is>
          <t>Man-Hours</t>
        </is>
      </c>
      <c r="G6" s="18" t="inlineStr">
        <is>
          <t>Worker Type</t>
        </is>
      </c>
      <c r="H6" s="18" t="inlineStr">
        <is>
          <t>Crew Size</t>
        </is>
      </c>
    </row>
    <row r="7">
      <c r="A7" t="inlineStr">
        <is>
          <t>01</t>
        </is>
      </c>
      <c r="B7" t="inlineStr">
        <is>
          <t>General Requirements</t>
        </is>
      </c>
      <c r="C7" s="3">
        <f>10.53*108675</f>
        <v/>
      </c>
      <c r="D7" s="41" t="n">
        <v>0.4</v>
      </c>
      <c r="E7" s="41" t="n">
        <v>0.6</v>
      </c>
      <c r="F7" s="12" t="n">
        <v>15257</v>
      </c>
      <c r="G7" t="inlineStr">
        <is>
          <t>Project Management/Supervisors</t>
        </is>
      </c>
      <c r="H7" t="inlineStr">
        <is>
          <t>5-8</t>
        </is>
      </c>
    </row>
    <row r="8">
      <c r="A8" t="inlineStr">
        <is>
          <t>02</t>
        </is>
      </c>
      <c r="B8" t="inlineStr">
        <is>
          <t>Site Work &amp; Demolition</t>
        </is>
      </c>
      <c r="C8" s="3">
        <f>4.56*108675</f>
        <v/>
      </c>
      <c r="D8" s="41" t="n">
        <v>0.3</v>
      </c>
      <c r="E8" s="41" t="n">
        <v>0.7</v>
      </c>
      <c r="F8" s="12" t="n">
        <v>7708</v>
      </c>
      <c r="G8" t="inlineStr">
        <is>
          <t>Laborers/Equipment Operators</t>
        </is>
      </c>
      <c r="H8" t="inlineStr">
        <is>
          <t>6-10</t>
        </is>
      </c>
    </row>
    <row r="9">
      <c r="A9" t="inlineStr">
        <is>
          <t>03</t>
        </is>
      </c>
      <c r="B9" t="inlineStr">
        <is>
          <t>Concrete - PT Structure</t>
        </is>
      </c>
      <c r="C9" s="3">
        <f>39.47*108675</f>
        <v/>
      </c>
      <c r="D9" s="41" t="n">
        <v>0.45</v>
      </c>
      <c r="E9" s="41" t="n">
        <v>0.55</v>
      </c>
      <c r="F9" s="12" t="n">
        <v>52426</v>
      </c>
      <c r="G9" t="inlineStr">
        <is>
          <t>Concrete Workers/Ironworkers</t>
        </is>
      </c>
      <c r="H9" t="inlineStr">
        <is>
          <t>15-25</t>
        </is>
      </c>
    </row>
    <row r="10">
      <c r="A10" t="inlineStr">
        <is>
          <t>04</t>
        </is>
      </c>
      <c r="B10" t="inlineStr">
        <is>
          <t>Masonry</t>
        </is>
      </c>
      <c r="C10" s="3">
        <f>2.46*108675</f>
        <v/>
      </c>
      <c r="D10" s="41" t="n">
        <v>0.5</v>
      </c>
      <c r="E10" s="41" t="n">
        <v>0.5</v>
      </c>
      <c r="F10" s="12" t="n">
        <v>2970</v>
      </c>
      <c r="G10" t="inlineStr">
        <is>
          <t>Masons/Laborers</t>
        </is>
      </c>
      <c r="H10" t="inlineStr">
        <is>
          <t>4-6</t>
        </is>
      </c>
    </row>
    <row r="11">
      <c r="A11" t="inlineStr">
        <is>
          <t>05</t>
        </is>
      </c>
      <c r="B11" t="inlineStr">
        <is>
          <t>Metals &amp; Structural Steel</t>
        </is>
      </c>
      <c r="C11" s="3">
        <f>7.45*108675</f>
        <v/>
      </c>
      <c r="D11" s="41" t="n">
        <v>0.65</v>
      </c>
      <c r="E11" s="41" t="n">
        <v>0.35</v>
      </c>
      <c r="F11" s="12" t="n">
        <v>6297</v>
      </c>
      <c r="G11" t="inlineStr">
        <is>
          <t>Ironworkers/Welders</t>
        </is>
      </c>
      <c r="H11" t="inlineStr">
        <is>
          <t>6-10</t>
        </is>
      </c>
    </row>
    <row r="12">
      <c r="A12" t="inlineStr">
        <is>
          <t>06</t>
        </is>
      </c>
      <c r="B12" t="inlineStr">
        <is>
          <t>Wood &amp; Plastics</t>
        </is>
      </c>
      <c r="C12" s="3">
        <f>2.81*108675</f>
        <v/>
      </c>
      <c r="D12" s="41" t="n">
        <v>0.55</v>
      </c>
      <c r="E12" s="41" t="n">
        <v>0.45</v>
      </c>
      <c r="F12" s="12" t="n">
        <v>3053</v>
      </c>
      <c r="G12" t="inlineStr">
        <is>
          <t>Carpenters</t>
        </is>
      </c>
      <c r="H12" t="inlineStr">
        <is>
          <t>4-6</t>
        </is>
      </c>
    </row>
    <row r="13">
      <c r="A13" t="inlineStr">
        <is>
          <t>07</t>
        </is>
      </c>
      <c r="B13" t="inlineStr">
        <is>
          <t>Waterproofing &amp; Roofing</t>
        </is>
      </c>
      <c r="C13" s="3">
        <f>19.3*108675</f>
        <v/>
      </c>
      <c r="D13" s="41" t="n">
        <v>0.4</v>
      </c>
      <c r="E13" s="41" t="n">
        <v>0.6</v>
      </c>
      <c r="F13" s="12" t="n">
        <v>27965</v>
      </c>
      <c r="G13" t="inlineStr">
        <is>
          <t>Roofers/Waterproofing Specialists</t>
        </is>
      </c>
      <c r="H13" t="inlineStr">
        <is>
          <t>6-10</t>
        </is>
      </c>
    </row>
    <row r="14">
      <c r="A14" t="inlineStr">
        <is>
          <t>08</t>
        </is>
      </c>
      <c r="B14" t="inlineStr">
        <is>
          <t>Doors, Windows &amp; HVHZ Glazing</t>
        </is>
      </c>
      <c r="C14" s="3">
        <f>24.55*108675</f>
        <v/>
      </c>
      <c r="D14" s="41" t="n">
        <v>0.7</v>
      </c>
      <c r="E14" s="41" t="n">
        <v>0.3</v>
      </c>
      <c r="F14" s="12" t="n">
        <v>17786</v>
      </c>
      <c r="G14" t="inlineStr">
        <is>
          <t>Glaziers/Installation Specialists</t>
        </is>
      </c>
      <c r="H14" t="inlineStr">
        <is>
          <t>8-12</t>
        </is>
      </c>
    </row>
    <row r="15">
      <c r="A15" t="inlineStr">
        <is>
          <t>09</t>
        </is>
      </c>
      <c r="B15" t="inlineStr">
        <is>
          <t>Interior Finishes</t>
        </is>
      </c>
      <c r="C15" s="3">
        <f>36.83*108675</f>
        <v/>
      </c>
      <c r="D15" s="41" t="n">
        <v>0.45</v>
      </c>
      <c r="E15" s="41" t="n">
        <v>0.55</v>
      </c>
      <c r="F15" s="12" t="n">
        <v>48919</v>
      </c>
      <c r="G15" t="inlineStr">
        <is>
          <t>Carpenters/Painters/Drywall</t>
        </is>
      </c>
      <c r="H15" t="inlineStr">
        <is>
          <t>20-30</t>
        </is>
      </c>
    </row>
    <row r="16">
      <c r="A16" t="inlineStr">
        <is>
          <t>10</t>
        </is>
      </c>
      <c r="B16" t="inlineStr">
        <is>
          <t>Specialties</t>
        </is>
      </c>
      <c r="C16" s="3">
        <f>3.95*108675</f>
        <v/>
      </c>
      <c r="D16" s="41" t="n">
        <v>0.75</v>
      </c>
      <c r="E16" s="41" t="n">
        <v>0.25</v>
      </c>
      <c r="F16" s="12" t="n">
        <v>2384</v>
      </c>
      <c r="G16" t="inlineStr">
        <is>
          <t>Specialty Installers</t>
        </is>
      </c>
      <c r="H16" t="inlineStr">
        <is>
          <t>2-4</t>
        </is>
      </c>
    </row>
    <row r="17">
      <c r="A17" t="inlineStr">
        <is>
          <t>11</t>
        </is>
      </c>
      <c r="B17" t="inlineStr">
        <is>
          <t>Equipment</t>
        </is>
      </c>
      <c r="C17" s="3">
        <f>3.33*108675</f>
        <v/>
      </c>
      <c r="D17" s="41" t="n">
        <v>0.8</v>
      </c>
      <c r="E17" s="41" t="n">
        <v>0.2</v>
      </c>
      <c r="F17" s="12" t="n">
        <v>1608</v>
      </c>
      <c r="G17" t="inlineStr">
        <is>
          <t>Equipment Installers</t>
        </is>
      </c>
      <c r="H17" t="inlineStr">
        <is>
          <t>2-4</t>
        </is>
      </c>
    </row>
    <row r="18">
      <c r="A18" t="inlineStr">
        <is>
          <t>12</t>
        </is>
      </c>
      <c r="B18" t="inlineStr">
        <is>
          <t>Furnishings</t>
        </is>
      </c>
      <c r="C18" s="3">
        <f>1.05*108675</f>
        <v/>
      </c>
      <c r="D18" s="41" t="n">
        <v>0.85</v>
      </c>
      <c r="E18" s="41" t="n">
        <v>0.15</v>
      </c>
      <c r="F18" s="12" t="n">
        <v>380</v>
      </c>
      <c r="G18" t="inlineStr">
        <is>
          <t>Installers</t>
        </is>
      </c>
      <c r="H18" t="inlineStr">
        <is>
          <t>2-3</t>
        </is>
      </c>
    </row>
    <row r="19">
      <c r="A19" t="inlineStr">
        <is>
          <t>13</t>
        </is>
      </c>
      <c r="B19" t="inlineStr">
        <is>
          <t>Special Construction</t>
        </is>
      </c>
      <c r="C19" s="3">
        <f>1.58*108675</f>
        <v/>
      </c>
      <c r="D19" s="41" t="n">
        <v>0.6</v>
      </c>
      <c r="E19" s="41" t="n">
        <v>0.4</v>
      </c>
      <c r="F19" s="12" t="n">
        <v>1526</v>
      </c>
      <c r="G19" t="inlineStr">
        <is>
          <t>Specialty Contractors</t>
        </is>
      </c>
      <c r="H19" t="inlineStr">
        <is>
          <t>3-5</t>
        </is>
      </c>
    </row>
    <row r="20">
      <c r="A20" t="inlineStr">
        <is>
          <t>14</t>
        </is>
      </c>
      <c r="B20" t="inlineStr">
        <is>
          <t>Elevators</t>
        </is>
      </c>
      <c r="C20" s="3">
        <f>3.1*108675</f>
        <v/>
      </c>
      <c r="D20" s="41" t="n">
        <v>0.75</v>
      </c>
      <c r="E20" s="41" t="n">
        <v>0.25</v>
      </c>
      <c r="F20" s="12" t="n">
        <v>1871</v>
      </c>
      <c r="G20" t="inlineStr">
        <is>
          <t>Elevator Mechanics/Technicians</t>
        </is>
      </c>
      <c r="H20" t="inlineStr">
        <is>
          <t>4-6</t>
        </is>
      </c>
    </row>
    <row r="21">
      <c r="A21" t="inlineStr">
        <is>
          <t>21</t>
        </is>
      </c>
      <c r="B21" t="inlineStr">
        <is>
          <t>Fire Suppression</t>
        </is>
      </c>
      <c r="C21" s="3">
        <f>6.58*108675</f>
        <v/>
      </c>
      <c r="D21" s="41" t="n">
        <v>0.5</v>
      </c>
      <c r="E21" s="41" t="n">
        <v>0.5</v>
      </c>
      <c r="F21" s="12" t="n">
        <v>7945</v>
      </c>
      <c r="G21" t="inlineStr">
        <is>
          <t>Pipefitters/Sprinkler Fitters</t>
        </is>
      </c>
      <c r="H21" t="inlineStr">
        <is>
          <t>4-6</t>
        </is>
      </c>
    </row>
    <row r="22">
      <c r="A22" t="inlineStr">
        <is>
          <t>22</t>
        </is>
      </c>
      <c r="B22" t="inlineStr">
        <is>
          <t>Plumbing</t>
        </is>
      </c>
      <c r="C22" s="3">
        <f>8.77*108675</f>
        <v/>
      </c>
      <c r="D22" s="41" t="n">
        <v>0.45</v>
      </c>
      <c r="E22" s="41" t="n">
        <v>0.55</v>
      </c>
      <c r="F22" s="12" t="n">
        <v>11648</v>
      </c>
      <c r="G22" t="inlineStr">
        <is>
          <t>Plumbers/Pipefitters</t>
        </is>
      </c>
      <c r="H22" t="inlineStr">
        <is>
          <t>6-10</t>
        </is>
      </c>
    </row>
    <row r="23">
      <c r="A23" t="inlineStr">
        <is>
          <t>23</t>
        </is>
      </c>
      <c r="B23" t="inlineStr">
        <is>
          <t>HVAC</t>
        </is>
      </c>
      <c r="C23" s="3">
        <f>13.15*108675</f>
        <v/>
      </c>
      <c r="D23" s="41" t="n">
        <v>0.5</v>
      </c>
      <c r="E23" s="41" t="n">
        <v>0.5</v>
      </c>
      <c r="F23" s="12" t="n">
        <v>15878</v>
      </c>
      <c r="G23" t="inlineStr">
        <is>
          <t>HVAC Technicians/Sheet Metal</t>
        </is>
      </c>
      <c r="H23" t="inlineStr">
        <is>
          <t>8-12</t>
        </is>
      </c>
    </row>
    <row r="24">
      <c r="A24" t="inlineStr">
        <is>
          <t>26</t>
        </is>
      </c>
      <c r="B24" t="inlineStr">
        <is>
          <t>Electrical</t>
        </is>
      </c>
      <c r="C24" s="3">
        <f>13.15*108675</f>
        <v/>
      </c>
      <c r="D24" s="41" t="n">
        <v>0.4</v>
      </c>
      <c r="E24" s="41" t="n">
        <v>0.6</v>
      </c>
      <c r="F24" s="12" t="n">
        <v>19054</v>
      </c>
      <c r="G24" t="inlineStr">
        <is>
          <t>Electricians/Low Voltage Tech</t>
        </is>
      </c>
      <c r="H24" t="inlineStr">
        <is>
          <t>10-15</t>
        </is>
      </c>
    </row>
    <row r="25">
      <c r="A25" t="inlineStr">
        <is>
          <t>27</t>
        </is>
      </c>
      <c r="B25" t="inlineStr">
        <is>
          <t>Communications &amp; Data</t>
        </is>
      </c>
      <c r="C25" s="3">
        <f>1.75*108675</f>
        <v/>
      </c>
      <c r="D25" s="41" t="n">
        <v>0.6</v>
      </c>
      <c r="E25" s="41" t="n">
        <v>0.4</v>
      </c>
      <c r="F25" s="12" t="n">
        <v>1690</v>
      </c>
      <c r="G25" t="inlineStr">
        <is>
          <t>Low Voltage Technicians</t>
        </is>
      </c>
      <c r="H25" t="inlineStr">
        <is>
          <t>3-5</t>
        </is>
      </c>
    </row>
    <row r="26">
      <c r="A26" t="inlineStr">
        <is>
          <t>28</t>
        </is>
      </c>
      <c r="B26" t="inlineStr">
        <is>
          <t>Security &amp; Fire Alarm</t>
        </is>
      </c>
      <c r="C26" s="3">
        <f>1.75*108675</f>
        <v/>
      </c>
      <c r="D26" s="41" t="n">
        <v>0.65</v>
      </c>
      <c r="E26" s="41" t="n">
        <v>0.35</v>
      </c>
      <c r="F26" s="12" t="n">
        <v>1479</v>
      </c>
      <c r="G26" t="inlineStr">
        <is>
          <t>Security/Fire Alarm Techs</t>
        </is>
      </c>
      <c r="H26" t="inlineStr">
        <is>
          <t>3-4</t>
        </is>
      </c>
    </row>
    <row r="27">
      <c r="A27" t="inlineStr">
        <is>
          <t>31</t>
        </is>
      </c>
      <c r="B27" t="inlineStr">
        <is>
          <t>Earthwork</t>
        </is>
      </c>
      <c r="C27" s="3">
        <f>3.68*108675</f>
        <v/>
      </c>
      <c r="D27" s="41" t="n">
        <v>0.25</v>
      </c>
      <c r="E27" s="41" t="n">
        <v>0.75</v>
      </c>
      <c r="F27" s="12" t="n">
        <v>6665</v>
      </c>
      <c r="G27" t="inlineStr">
        <is>
          <t>Equipment Operators/Laborers</t>
        </is>
      </c>
      <c r="H27" t="inlineStr">
        <is>
          <t>6-8</t>
        </is>
      </c>
    </row>
    <row r="28">
      <c r="A28" t="inlineStr">
        <is>
          <t>32</t>
        </is>
      </c>
      <c r="B28" t="inlineStr">
        <is>
          <t>Exterior Improvements</t>
        </is>
      </c>
      <c r="C28" s="3">
        <f>3.51*108675</f>
        <v/>
      </c>
      <c r="D28" s="41" t="n">
        <v>0.5</v>
      </c>
      <c r="E28" s="41" t="n">
        <v>0.5</v>
      </c>
      <c r="F28" s="12" t="n">
        <v>4238</v>
      </c>
      <c r="G28" t="inlineStr">
        <is>
          <t>Landscapers/Pavers/Masons</t>
        </is>
      </c>
      <c r="H28" t="inlineStr">
        <is>
          <t>6-10</t>
        </is>
      </c>
    </row>
    <row r="29">
      <c r="A29" t="inlineStr">
        <is>
          <t>33</t>
        </is>
      </c>
      <c r="B29" t="inlineStr">
        <is>
          <t>Utilities</t>
        </is>
      </c>
      <c r="C29" s="3">
        <f>2.81*108675</f>
        <v/>
      </c>
      <c r="D29" s="41" t="n">
        <v>0.55</v>
      </c>
      <c r="E29" s="41" t="n">
        <v>0.45</v>
      </c>
      <c r="F29" s="12" t="n">
        <v>3053</v>
      </c>
      <c r="G29" t="inlineStr">
        <is>
          <t>Utility Workers/Excavators</t>
        </is>
      </c>
      <c r="H29" t="inlineStr">
        <is>
          <t>4-6</t>
        </is>
      </c>
    </row>
    <row r="30">
      <c r="B30" s="17" t="inlineStr">
        <is>
          <t>SUBTOTAL - Direct Costs</t>
        </is>
      </c>
      <c r="C30" s="20">
        <f>SUM(C7:C29)</f>
        <v/>
      </c>
      <c r="F30" s="42">
        <f>SUM(F7:F29)</f>
        <v/>
      </c>
    </row>
    <row r="32">
      <c r="B32" t="inlineStr">
        <is>
          <t>General Conditions (9%)</t>
        </is>
      </c>
      <c r="C32" s="3">
        <f>C30*GC_GC</f>
        <v/>
      </c>
      <c r="F32" s="12" t="n">
        <v>13090</v>
      </c>
      <c r="G32" t="inlineStr">
        <is>
          <t>Project Manager/Super/Admin</t>
        </is>
      </c>
    </row>
    <row r="33">
      <c r="B33" t="inlineStr">
        <is>
          <t>Overhead &amp; Profit (10%)</t>
        </is>
      </c>
      <c r="C33" s="3">
        <f>(C30+C32)*GC_OHP</f>
        <v/>
      </c>
    </row>
    <row r="34">
      <c r="B34" t="inlineStr">
        <is>
          <t>Contingencies (16%)</t>
        </is>
      </c>
      <c r="C34" s="3">
        <f>(C30+C32+C33)*0.16</f>
        <v/>
      </c>
    </row>
    <row r="36">
      <c r="B36" s="5" t="inlineStr">
        <is>
          <t>TOTAL HARD COSTS</t>
        </is>
      </c>
      <c r="C36" s="6">
        <f>TotalHardCosts</f>
        <v/>
      </c>
      <c r="F36" s="43">
        <f>F30+F32</f>
        <v/>
      </c>
    </row>
    <row r="39">
      <c r="A39" s="18" t="inlineStr">
        <is>
          <t>WORKFORCE SUMMARY</t>
        </is>
      </c>
    </row>
    <row r="40">
      <c r="A40" s="18" t="inlineStr">
        <is>
          <t>Category</t>
        </is>
      </c>
      <c r="B40" s="18" t="inlineStr">
        <is>
          <t>Worker Types</t>
        </is>
      </c>
      <c r="C40" s="18" t="inlineStr">
        <is>
          <t>Est. Man-Hours</t>
        </is>
      </c>
      <c r="D40" s="18" t="inlineStr">
        <is>
          <t>Avg Rate/Hr</t>
        </is>
      </c>
      <c r="E40" s="18" t="inlineStr">
        <is>
          <t>Total Labor Cost</t>
        </is>
      </c>
      <c r="F40" s="18" t="inlineStr">
        <is>
          <t>Peak Workers</t>
        </is>
      </c>
      <c r="G40" s="18" t="inlineStr">
        <is>
          <t>Duration</t>
        </is>
      </c>
    </row>
    <row r="41">
      <c r="A41" t="inlineStr">
        <is>
          <t>Skilled Trades</t>
        </is>
      </c>
      <c r="B41" t="inlineStr">
        <is>
          <t>Concrete, Ironworkers, Electricians, Plumbers, HVAC</t>
        </is>
      </c>
      <c r="C41" s="12" t="n">
        <v>130900</v>
      </c>
      <c r="D41" s="3" t="n">
        <v>55</v>
      </c>
      <c r="E41" s="3">
        <f>C41*D41</f>
        <v/>
      </c>
      <c r="F41">
        <f>INT(C41/2000*1.5)</f>
        <v/>
      </c>
      <c r="G41" t="inlineStr">
        <is>
          <t>18-24 months</t>
        </is>
      </c>
    </row>
    <row r="42">
      <c r="A42" t="inlineStr">
        <is>
          <t>Semi-Skilled</t>
        </is>
      </c>
      <c r="B42" t="inlineStr">
        <is>
          <t>Carpenters, Masons, Painters, Drywall</t>
        </is>
      </c>
      <c r="C42" s="12" t="n">
        <v>65450</v>
      </c>
      <c r="D42" s="3" t="n">
        <v>40</v>
      </c>
      <c r="E42" s="3">
        <f>C42*D42</f>
        <v/>
      </c>
      <c r="F42">
        <f>INT(C42/2000*1.5)</f>
        <v/>
      </c>
      <c r="G42" t="inlineStr">
        <is>
          <t>12-20 months</t>
        </is>
      </c>
    </row>
    <row r="43">
      <c r="A43" t="inlineStr">
        <is>
          <t>Laborers</t>
        </is>
      </c>
      <c r="B43" t="inlineStr">
        <is>
          <t>General Labor, Site Work, Material Handling</t>
        </is>
      </c>
      <c r="C43" s="12" t="n">
        <v>39270</v>
      </c>
      <c r="D43" s="3" t="n">
        <v>30</v>
      </c>
      <c r="E43" s="3">
        <f>C43*D43</f>
        <v/>
      </c>
      <c r="F43">
        <f>INT(C43/2000*1.5)</f>
        <v/>
      </c>
      <c r="G43" t="inlineStr">
        <is>
          <t>1-24 months</t>
        </is>
      </c>
    </row>
    <row r="44">
      <c r="A44" t="inlineStr">
        <is>
          <t>Specialists</t>
        </is>
      </c>
      <c r="B44" t="inlineStr">
        <is>
          <t>Glaziers, Waterproofing, Elevator Techs</t>
        </is>
      </c>
      <c r="C44" s="12" t="n">
        <v>20944</v>
      </c>
      <c r="D44" s="3" t="n">
        <v>60</v>
      </c>
      <c r="E44" s="3">
        <f>C44*D44</f>
        <v/>
      </c>
      <c r="F44">
        <f>INT(C44/2000*1.5)</f>
        <v/>
      </c>
      <c r="G44" t="inlineStr">
        <is>
          <t>8-18 months</t>
        </is>
      </c>
    </row>
    <row r="45">
      <c r="A45" t="inlineStr">
        <is>
          <t>Management/Super</t>
        </is>
      </c>
      <c r="B45" t="inlineStr">
        <is>
          <t>PM, Superintendent, Foremen, Admin</t>
        </is>
      </c>
      <c r="C45" s="12" t="n">
        <v>5236</v>
      </c>
      <c r="D45" s="3" t="n">
        <v>75</v>
      </c>
      <c r="E45" s="3">
        <f>C45*D45</f>
        <v/>
      </c>
      <c r="F45">
        <f>INT(C45/2000*1.5)</f>
        <v/>
      </c>
      <c r="G45" t="inlineStr">
        <is>
          <t>1-24 months</t>
        </is>
      </c>
    </row>
    <row r="47">
      <c r="A47" s="17" t="inlineStr">
        <is>
          <t>TOTAL WORKFORCE</t>
        </is>
      </c>
      <c r="C47" s="44">
        <f>SUM(C41:C45)</f>
        <v/>
      </c>
      <c r="E47" s="7">
        <f>SUM(E41:E45)</f>
        <v/>
      </c>
      <c r="F47" s="17">
        <f>SUM(F41:F45)</f>
        <v/>
      </c>
    </row>
  </sheetData>
  <mergeCells count="5">
    <mergeCell ref="A1:H1"/>
    <mergeCell ref="A3:H3"/>
    <mergeCell ref="A39:H39"/>
    <mergeCell ref="A2:H2"/>
    <mergeCell ref="A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9" customWidth="1" min="1" max="1"/>
    <col width="44" customWidth="1" min="2" max="2"/>
  </cols>
  <sheetData>
    <row r="1">
      <c r="A1" s="10" t="inlineStr">
        <is>
          <t>HOW TO KEEP THIS WORKBOOK IN SYNC</t>
        </is>
      </c>
    </row>
    <row r="3">
      <c r="A3" t="inlineStr">
        <is>
          <t>YELLOW CELLS = EDITABLE</t>
        </is>
      </c>
      <c r="B3" t="inlineStr">
        <is>
          <t>You can change these values</t>
        </is>
      </c>
    </row>
    <row r="5">
      <c r="A5" t="inlineStr">
        <is>
          <t>When you edit a yellow cell:</t>
        </is>
      </c>
      <c r="B5" t="inlineStr">
        <is>
          <t>All formulas update automatically</t>
        </is>
      </c>
    </row>
    <row r="7">
      <c r="A7" t="inlineStr">
        <is>
          <t>Named Ranges:</t>
        </is>
      </c>
      <c r="B7" t="inlineStr">
        <is>
          <t>Connect sheets together</t>
        </is>
      </c>
    </row>
    <row r="8">
      <c r="A8" t="inlineStr">
        <is>
          <t>Example:</t>
        </is>
      </c>
      <c r="B8" t="inlineStr">
        <is>
          <t>TotalHardCosts pulls from Hard Costs sheet</t>
        </is>
      </c>
    </row>
    <row r="10">
      <c r="A10" t="inlineStr">
        <is>
          <t>To regenerate this file:</t>
        </is>
      </c>
      <c r="B10" t="inlineStr">
        <is>
          <t>Run scripts/make_interactive_workbook_v3.py</t>
        </is>
      </c>
    </row>
    <row r="12">
      <c r="A12" s="17" t="inlineStr">
        <is>
          <t>ALL 11 CORRECTIONS APPLIED:</t>
        </is>
      </c>
    </row>
    <row r="13">
      <c r="A13" t="inlineStr">
        <is>
          <t>1. Summary - % in column C</t>
        </is>
      </c>
      <c r="B13" s="45" t="inlineStr">
        <is>
          <t>✓</t>
        </is>
      </c>
    </row>
    <row r="14">
      <c r="A14" t="inlineStr">
        <is>
          <t>2. Assumptions - % in columns C &amp; D</t>
        </is>
      </c>
      <c r="B14" s="45" t="inlineStr">
        <is>
          <t>✓</t>
        </is>
      </c>
    </row>
    <row r="15">
      <c r="A15" t="inlineStr">
        <is>
          <t>3. Soft costs = 12% of project cost</t>
        </is>
      </c>
      <c r="B15" s="45" t="inlineStr">
        <is>
          <t>✓</t>
        </is>
      </c>
    </row>
    <row r="16">
      <c r="A16" t="inlineStr">
        <is>
          <t>4. All formulas use named ranges</t>
        </is>
      </c>
      <c r="B16" s="45" t="inlineStr">
        <is>
          <t>✓</t>
        </is>
      </c>
    </row>
    <row r="17">
      <c r="A17" t="inlineStr">
        <is>
          <t>5. Cash flow with formulas &amp; 50 units</t>
        </is>
      </c>
      <c r="B17" s="45" t="inlineStr">
        <is>
          <t>✓</t>
        </is>
      </c>
    </row>
    <row r="18">
      <c r="A18" t="inlineStr">
        <is>
          <t>6. SC Cash OUT label corrected</t>
        </is>
      </c>
      <c r="B18" s="45" t="inlineStr">
        <is>
          <t>✓</t>
        </is>
      </c>
    </row>
    <row r="19">
      <c r="A19" t="inlineStr">
        <is>
          <t>7. Auto-fit columns</t>
        </is>
      </c>
      <c r="B19" s="45" t="inlineStr">
        <is>
          <t>✓</t>
        </is>
      </c>
    </row>
    <row r="20">
      <c r="A20" t="inlineStr">
        <is>
          <t>8. SF with commas throughout</t>
        </is>
      </c>
      <c r="B20" s="45" t="inlineStr">
        <is>
          <t>✓</t>
        </is>
      </c>
    </row>
    <row r="21">
      <c r="A21" t="inlineStr">
        <is>
          <t>9. Soft costs categorized IN-KIND/CASH</t>
        </is>
      </c>
      <c r="B21" s="45" t="inlineStr">
        <is>
          <t>✓</t>
        </is>
      </c>
    </row>
    <row r="22">
      <c r="A22" t="inlineStr">
        <is>
          <t>10. Project deal sheet corrected</t>
        </is>
      </c>
      <c r="B22" s="45" t="inlineStr">
        <is>
          <t>✓</t>
        </is>
      </c>
    </row>
    <row r="23">
      <c r="A23" t="inlineStr">
        <is>
          <t>11. All sheets formatted properly</t>
        </is>
      </c>
      <c r="B23" s="45" t="inlineStr">
        <is>
          <t>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959"/>
  <sheetViews>
    <sheetView workbookViewId="0">
      <selection activeCell="A1" sqref="A1"/>
    </sheetView>
  </sheetViews>
  <sheetFormatPr baseColWidth="8" defaultRowHeight="15"/>
  <cols>
    <col width="6.63" customWidth="1" min="1" max="1"/>
    <col width="13.13" customWidth="1" min="2" max="2"/>
    <col width="6.13" customWidth="1" min="3" max="3"/>
    <col width="5.63" customWidth="1" min="4" max="4"/>
    <col width="6.5" customWidth="1" min="5" max="5"/>
    <col width="13.5" customWidth="1" min="6" max="6"/>
    <col width="6.13" customWidth="1" min="7" max="7"/>
    <col width="13.38" customWidth="1" min="8" max="8"/>
    <col width="6.13" customWidth="1" min="9" max="9"/>
    <col width="11.88" customWidth="1" min="10" max="10"/>
    <col width="12.88" customWidth="1" min="11" max="11"/>
    <col width="28.63" customWidth="1" min="12" max="12"/>
    <col width="11.13" customWidth="1" min="13" max="13"/>
    <col width="10.38" customWidth="1" min="14" max="14"/>
    <col width="9.75" customWidth="1" min="15" max="15"/>
    <col width="9.380000000000001" customWidth="1" min="16" max="16"/>
    <col width="13.63" customWidth="1" min="17" max="17"/>
    <col width="9.380000000000001" customWidth="1" min="18" max="18"/>
    <col width="9" customWidth="1" min="19" max="19"/>
    <col width="9.380000000000001" customWidth="1" min="20" max="20"/>
    <col width="13.38" customWidth="1" min="21" max="21"/>
    <col width="10.63" customWidth="1" min="22" max="22"/>
    <col width="5.75" customWidth="1" min="23" max="23"/>
    <col width="13.13" customWidth="1" min="24" max="24"/>
    <col width="8.75" customWidth="1" min="26" max="26"/>
    <col width="8.630000000000001" customWidth="1" min="28" max="28"/>
    <col width="15.88" customWidth="1" min="29" max="29"/>
    <col width="8.630000000000001" customWidth="1" min="30" max="30"/>
  </cols>
  <sheetData>
    <row r="1">
      <c r="A1" s="46" t="inlineStr">
        <is>
          <t>Floor #</t>
        </is>
      </c>
      <c r="B1" s="46" t="inlineStr">
        <is>
          <t>Saleable</t>
        </is>
      </c>
      <c r="C1" s="46" t="inlineStr">
        <is>
          <t>Height</t>
        </is>
      </c>
      <c r="D1" s="46" t="inlineStr">
        <is>
          <t>Width</t>
        </is>
      </c>
      <c r="E1" s="46" t="inlineStr">
        <is>
          <t>Length</t>
        </is>
      </c>
      <c r="F1" s="46" t="inlineStr">
        <is>
          <t>Floor Plate GSF</t>
        </is>
      </c>
      <c r="G1" s="46" t="inlineStr">
        <is>
          <t>%GSF</t>
        </is>
      </c>
      <c r="H1" s="46" t="inlineStr">
        <is>
          <t>Floor Plate NSF</t>
        </is>
      </c>
      <c r="I1" s="46" t="inlineStr">
        <is>
          <t>%NSF</t>
        </is>
      </c>
      <c r="J1" s="46" t="inlineStr">
        <is>
          <t>Unit Size NSF</t>
        </is>
      </c>
      <c r="K1" s="47" t="inlineStr">
        <is>
          <t>Units per Floor</t>
        </is>
      </c>
      <c r="L1" s="46" t="inlineStr">
        <is>
          <t>USE</t>
        </is>
      </c>
      <c r="M1" s="46" t="inlineStr">
        <is>
          <t>Units by Use</t>
        </is>
      </c>
      <c r="N1" s="46" t="inlineStr">
        <is>
          <t>GSF by Use</t>
        </is>
      </c>
      <c r="O1" s="46" t="inlineStr">
        <is>
          <t>Cost by SF</t>
        </is>
      </c>
      <c r="P1" s="46" t="inlineStr">
        <is>
          <t>Unit Cost</t>
        </is>
      </c>
      <c r="Q1" s="46" t="inlineStr">
        <is>
          <t>Total Floor Cost</t>
        </is>
      </c>
      <c r="R1" s="46" t="inlineStr">
        <is>
          <t>Soft Cost</t>
        </is>
      </c>
      <c r="S1" s="46" t="inlineStr">
        <is>
          <t>Sell by SF</t>
        </is>
      </c>
      <c r="T1" s="46" t="inlineStr">
        <is>
          <t>Unit Sale</t>
        </is>
      </c>
      <c r="U1" s="46" t="inlineStr">
        <is>
          <t>Total Floor Sale</t>
        </is>
      </c>
      <c r="V1" s="46" t="inlineStr">
        <is>
          <t>Gross Profit</t>
        </is>
      </c>
      <c r="W1" s="48" t="inlineStr">
        <is>
          <t>GP %</t>
        </is>
      </c>
      <c r="X1" s="49" t="inlineStr">
        <is>
          <t>address</t>
        </is>
      </c>
      <c r="Y1" s="46" t="n"/>
      <c r="Z1" s="46" t="n"/>
      <c r="AA1" s="46" t="n"/>
      <c r="AB1" s="46" t="n"/>
      <c r="AC1" s="50" t="n"/>
      <c r="AD1" s="50" t="n"/>
      <c r="AE1" s="50" t="n"/>
      <c r="AF1" s="50" t="n"/>
      <c r="AG1" s="50" t="n"/>
      <c r="AH1" s="50" t="n"/>
    </row>
    <row r="2">
      <c r="A2" s="50" t="n">
        <v>1</v>
      </c>
      <c r="B2" s="50" t="inlineStr">
        <is>
          <t>Saleable @Cost</t>
        </is>
      </c>
      <c r="C2" s="51" t="n">
        <v>12</v>
      </c>
      <c r="D2" s="51" t="n">
        <v>75</v>
      </c>
      <c r="E2" s="51" t="n">
        <v>175</v>
      </c>
      <c r="F2" s="52">
        <f>E2*D2</f>
        <v/>
      </c>
      <c r="G2" s="53">
        <f>F2/$F$10</f>
        <v/>
      </c>
      <c r="H2" s="52">
        <f>F2*0.8</f>
        <v/>
      </c>
      <c r="I2" s="53">
        <f>H2/$H$10</f>
        <v/>
      </c>
      <c r="J2" s="52">
        <f>F2/K2*0.8</f>
        <v/>
      </c>
      <c r="K2" s="54" t="n">
        <v>1</v>
      </c>
      <c r="L2" s="55" t="inlineStr">
        <is>
          <t>Chabad House - Mikvah</t>
        </is>
      </c>
      <c r="M2" s="52">
        <f>K2</f>
        <v/>
      </c>
      <c r="N2" s="52">
        <f>F2</f>
        <v/>
      </c>
      <c r="O2" s="56" t="n">
        <v>300.0585</v>
      </c>
      <c r="P2" s="56">
        <f>F2/K2*O2</f>
        <v/>
      </c>
      <c r="Q2" s="56">
        <f>P2*K2</f>
        <v/>
      </c>
      <c r="R2" s="56">
        <f>Q2*0.12</f>
        <v/>
      </c>
      <c r="S2" s="56" t="n">
        <v>400</v>
      </c>
      <c r="T2" s="56">
        <f>H2/K2*S2</f>
        <v/>
      </c>
      <c r="U2" s="56">
        <f>T2*K2</f>
        <v/>
      </c>
      <c r="V2" s="52" t="n"/>
      <c r="W2" s="52" t="n"/>
      <c r="X2" s="55" t="inlineStr">
        <is>
          <t>1580 79st. causeway, North Bay Village, FL 33141</t>
        </is>
      </c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</row>
    <row r="3">
      <c r="A3" s="50" t="n">
        <v>2</v>
      </c>
      <c r="B3" s="50" t="inlineStr">
        <is>
          <t>Non-Saleable</t>
        </is>
      </c>
      <c r="C3" s="51" t="n">
        <v>9</v>
      </c>
      <c r="D3" s="51" t="n">
        <v>90</v>
      </c>
      <c r="E3" s="51" t="n">
        <v>175</v>
      </c>
      <c r="F3" s="52">
        <f>E3*D3</f>
        <v/>
      </c>
      <c r="G3" s="53">
        <f>F3/$F$10</f>
        <v/>
      </c>
      <c r="H3" s="52">
        <f>F3*0.8</f>
        <v/>
      </c>
      <c r="I3" s="53">
        <f>H3/$H$10</f>
        <v/>
      </c>
      <c r="J3" s="52">
        <f>F3/K3*0.8</f>
        <v/>
      </c>
      <c r="K3" s="54" t="n">
        <v>51</v>
      </c>
      <c r="L3" s="55" t="inlineStr">
        <is>
          <t xml:space="preserve">Parking - EV Stations / ADA </t>
        </is>
      </c>
      <c r="M3" s="55" t="n"/>
      <c r="N3" s="55" t="n"/>
      <c r="O3" s="56" t="n">
        <v>300.06</v>
      </c>
      <c r="P3" s="56">
        <f>F3/K3*O3</f>
        <v/>
      </c>
      <c r="Q3" s="56">
        <f>P3*K3</f>
        <v/>
      </c>
      <c r="R3" s="56">
        <f>Q3*0.12</f>
        <v/>
      </c>
      <c r="S3" s="56" t="n"/>
      <c r="T3" s="56">
        <f>H3/K3*S3</f>
        <v/>
      </c>
      <c r="U3" s="56">
        <f>T3*K3</f>
        <v/>
      </c>
      <c r="V3" s="52" t="n"/>
      <c r="W3" s="52" t="n"/>
      <c r="X3" s="55" t="n"/>
      <c r="Y3" s="55" t="n"/>
      <c r="Z3" s="55" t="n"/>
      <c r="AA3" s="55" t="n"/>
      <c r="AB3" s="55" t="n"/>
      <c r="AC3" s="55" t="n"/>
      <c r="AD3" s="55" t="n"/>
      <c r="AE3" s="55" t="n"/>
      <c r="AF3" s="55" t="n"/>
      <c r="AG3" s="55" t="n"/>
      <c r="AH3" s="55" t="n"/>
    </row>
    <row r="4">
      <c r="A4" s="50" t="n">
        <v>3</v>
      </c>
      <c r="B4" s="50" t="inlineStr">
        <is>
          <t>Non-Saleable</t>
        </is>
      </c>
      <c r="C4" s="51" t="n">
        <v>9</v>
      </c>
      <c r="D4" s="51" t="n">
        <v>90</v>
      </c>
      <c r="E4" s="51" t="n">
        <v>175</v>
      </c>
      <c r="F4" s="52">
        <f>E4*D4</f>
        <v/>
      </c>
      <c r="G4" s="53">
        <f>F4/$F$10</f>
        <v/>
      </c>
      <c r="H4" s="52">
        <f>F4*0.8</f>
        <v/>
      </c>
      <c r="I4" s="53">
        <f>H4/$H$10</f>
        <v/>
      </c>
      <c r="J4" s="52">
        <f>F4/K4*0.8</f>
        <v/>
      </c>
      <c r="K4" s="54" t="n">
        <v>51</v>
      </c>
      <c r="L4" s="55" t="inlineStr">
        <is>
          <t xml:space="preserve">Parking - EV Stations / ADA </t>
        </is>
      </c>
      <c r="M4" s="52">
        <f>K4+K3</f>
        <v/>
      </c>
      <c r="N4" s="52">
        <f>F4+F3</f>
        <v/>
      </c>
      <c r="O4" s="56" t="n">
        <v>300.06</v>
      </c>
      <c r="P4" s="56">
        <f>F4/K4*O4</f>
        <v/>
      </c>
      <c r="Q4" s="56">
        <f>P4*K4</f>
        <v/>
      </c>
      <c r="R4" s="56">
        <f>Q4*0.12</f>
        <v/>
      </c>
      <c r="S4" s="56" t="n"/>
      <c r="T4" s="56">
        <f>H4/K4*S4</f>
        <v/>
      </c>
      <c r="U4" s="56">
        <f>T4*K4</f>
        <v/>
      </c>
      <c r="V4" s="52" t="n"/>
      <c r="W4" s="52" t="n"/>
      <c r="X4" s="55" t="n"/>
      <c r="Y4" s="55" t="n"/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</row>
    <row r="5">
      <c r="A5" s="50" t="n">
        <v>4</v>
      </c>
      <c r="B5" s="50" t="inlineStr">
        <is>
          <t>Saleable</t>
        </is>
      </c>
      <c r="C5" s="51" t="n">
        <v>10</v>
      </c>
      <c r="D5" s="51" t="n">
        <v>90</v>
      </c>
      <c r="E5" s="51" t="n">
        <v>175</v>
      </c>
      <c r="F5" s="52">
        <f>E5*D5</f>
        <v/>
      </c>
      <c r="G5" s="53">
        <f>F5/$F$10</f>
        <v/>
      </c>
      <c r="H5" s="52">
        <f>F5*0.8</f>
        <v/>
      </c>
      <c r="I5" s="53">
        <f>H5/$H$10</f>
        <v/>
      </c>
      <c r="J5" s="52">
        <f>F5/K5*0.8</f>
        <v/>
      </c>
      <c r="K5" s="54" t="n">
        <v>16</v>
      </c>
      <c r="L5" s="55" t="inlineStr">
        <is>
          <t>Residential Hospitality 2 bed-1.5 bath</t>
        </is>
      </c>
      <c r="M5" s="52" t="n"/>
      <c r="N5" s="52" t="n"/>
      <c r="O5" s="56" t="n">
        <v>300.06</v>
      </c>
      <c r="P5" s="56">
        <f>F5/K5*O5</f>
        <v/>
      </c>
      <c r="Q5" s="56">
        <f>P5*K5</f>
        <v/>
      </c>
      <c r="R5" s="56">
        <f>Q5*0.12</f>
        <v/>
      </c>
      <c r="S5" s="56" t="n">
        <v>1200</v>
      </c>
      <c r="T5" s="56">
        <f>H5/K5*S5</f>
        <v/>
      </c>
      <c r="U5" s="56">
        <f>T5*K5</f>
        <v/>
      </c>
      <c r="V5" s="52" t="n"/>
      <c r="W5" s="52" t="n"/>
      <c r="X5" s="55" t="n"/>
      <c r="Y5" s="55" t="n"/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</row>
    <row r="6">
      <c r="A6" s="50" t="n">
        <v>5</v>
      </c>
      <c r="B6" s="50" t="inlineStr">
        <is>
          <t>Saleable</t>
        </is>
      </c>
      <c r="C6" s="51" t="n">
        <v>10</v>
      </c>
      <c r="D6" s="51" t="n">
        <v>90</v>
      </c>
      <c r="E6" s="51" t="n">
        <v>175</v>
      </c>
      <c r="F6" s="52">
        <f>E6*D6</f>
        <v/>
      </c>
      <c r="G6" s="53">
        <f>F6/$F$10</f>
        <v/>
      </c>
      <c r="H6" s="52">
        <f>F6*0.8</f>
        <v/>
      </c>
      <c r="I6" s="53">
        <f>H6/$H$10</f>
        <v/>
      </c>
      <c r="J6" s="52">
        <f>F6/K6*0.8</f>
        <v/>
      </c>
      <c r="K6" s="54" t="n">
        <v>16</v>
      </c>
      <c r="L6" s="55" t="inlineStr">
        <is>
          <t>Residential Hospitality 2 bed-1.5 bath</t>
        </is>
      </c>
      <c r="M6" s="52" t="n"/>
      <c r="N6" s="52" t="n"/>
      <c r="O6" s="56" t="n">
        <v>300.06</v>
      </c>
      <c r="P6" s="56">
        <f>F6/K6*O6</f>
        <v/>
      </c>
      <c r="Q6" s="56">
        <f>P6*K6</f>
        <v/>
      </c>
      <c r="R6" s="56">
        <f>Q6*0.12</f>
        <v/>
      </c>
      <c r="S6" s="56" t="n">
        <v>1200</v>
      </c>
      <c r="T6" s="56">
        <f>H6/K6*S6</f>
        <v/>
      </c>
      <c r="U6" s="56">
        <f>T6*K6</f>
        <v/>
      </c>
      <c r="V6" s="52" t="n"/>
      <c r="W6" s="52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</row>
    <row r="7">
      <c r="A7" s="50" t="n">
        <v>6</v>
      </c>
      <c r="B7" s="50" t="inlineStr">
        <is>
          <t>Saleable</t>
        </is>
      </c>
      <c r="C7" s="51" t="n">
        <v>10</v>
      </c>
      <c r="D7" s="51" t="n">
        <v>70</v>
      </c>
      <c r="E7" s="51" t="n">
        <v>155</v>
      </c>
      <c r="F7" s="52">
        <f>E7*D7</f>
        <v/>
      </c>
      <c r="G7" s="53">
        <f>F7/$F$10</f>
        <v/>
      </c>
      <c r="H7" s="52">
        <f>F7*0.8</f>
        <v/>
      </c>
      <c r="I7" s="53">
        <f>H7/$H$10</f>
        <v/>
      </c>
      <c r="J7" s="52">
        <f>F7/K7*0.8</f>
        <v/>
      </c>
      <c r="K7" s="54" t="n">
        <v>10</v>
      </c>
      <c r="L7" s="55" t="inlineStr">
        <is>
          <t>Residential Hospitality 2 bed-1.5 bath</t>
        </is>
      </c>
      <c r="M7" s="52">
        <f>K7+K6+K5</f>
        <v/>
      </c>
      <c r="N7" s="52">
        <f>F7+F6+F5</f>
        <v/>
      </c>
      <c r="O7" s="56" t="n">
        <v>300.06</v>
      </c>
      <c r="P7" s="56">
        <f>F7/K7*O7</f>
        <v/>
      </c>
      <c r="Q7" s="56">
        <f>P7*K7</f>
        <v/>
      </c>
      <c r="R7" s="56">
        <f>Q7*0.12</f>
        <v/>
      </c>
      <c r="S7" s="56" t="n">
        <v>1200</v>
      </c>
      <c r="T7" s="56">
        <f>H7/K7*S7</f>
        <v/>
      </c>
      <c r="U7" s="56">
        <f>T7*K7</f>
        <v/>
      </c>
      <c r="V7" s="52" t="n"/>
      <c r="W7" s="52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</row>
    <row r="8">
      <c r="A8" s="50" t="n">
        <v>7</v>
      </c>
      <c r="B8" s="50" t="inlineStr">
        <is>
          <t>Saleable</t>
        </is>
      </c>
      <c r="C8" s="51" t="n">
        <v>10</v>
      </c>
      <c r="D8" s="51" t="n">
        <v>70</v>
      </c>
      <c r="E8" s="51" t="n">
        <v>155</v>
      </c>
      <c r="F8" s="52">
        <f>E8*D8</f>
        <v/>
      </c>
      <c r="G8" s="53">
        <f>F8/$F$10</f>
        <v/>
      </c>
      <c r="H8" s="52">
        <f>F8*0.8</f>
        <v/>
      </c>
      <c r="I8" s="53">
        <f>H8/$H$10</f>
        <v/>
      </c>
      <c r="J8" s="52">
        <f>F8/K8*0.8</f>
        <v/>
      </c>
      <c r="K8" s="54" t="n">
        <v>8</v>
      </c>
      <c r="L8" s="55" t="inlineStr">
        <is>
          <t xml:space="preserve">Residential Condos 3 bed / 2 bath </t>
        </is>
      </c>
      <c r="M8" s="52">
        <f>K8</f>
        <v/>
      </c>
      <c r="N8" s="52">
        <f>F8</f>
        <v/>
      </c>
      <c r="O8" s="56" t="n">
        <v>300.06</v>
      </c>
      <c r="P8" s="56">
        <f>F8/K8*O8</f>
        <v/>
      </c>
      <c r="Q8" s="56">
        <f>P8*K8</f>
        <v/>
      </c>
      <c r="R8" s="56">
        <f>Q8*0.12</f>
        <v/>
      </c>
      <c r="S8" s="56" t="n">
        <v>1200</v>
      </c>
      <c r="T8" s="56">
        <f>H8/K8*S8</f>
        <v/>
      </c>
      <c r="U8" s="56">
        <f>T8*K8</f>
        <v/>
      </c>
      <c r="V8" s="52" t="n"/>
      <c r="W8" s="52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</row>
    <row r="9">
      <c r="A9" s="50" t="inlineStr">
        <is>
          <t>roof top</t>
        </is>
      </c>
      <c r="B9" s="50" t="inlineStr">
        <is>
          <t>Non-Saleable</t>
        </is>
      </c>
      <c r="C9" s="51" t="n">
        <v>5</v>
      </c>
      <c r="D9" s="51" t="n">
        <v>70</v>
      </c>
      <c r="E9" s="51" t="n">
        <v>155</v>
      </c>
      <c r="F9" s="52">
        <f>E9*D9</f>
        <v/>
      </c>
      <c r="G9" s="53">
        <f>F9/$F$10</f>
        <v/>
      </c>
      <c r="H9" s="52">
        <f>F9*0.8</f>
        <v/>
      </c>
      <c r="I9" s="53">
        <f>H9/$H$10</f>
        <v/>
      </c>
      <c r="J9" s="52">
        <f>F9/K9*0.8</f>
        <v/>
      </c>
      <c r="K9" s="54" t="n">
        <v>1</v>
      </c>
      <c r="L9" s="55" t="inlineStr">
        <is>
          <t>Pool - Gym</t>
        </is>
      </c>
      <c r="M9" s="52">
        <f>K9</f>
        <v/>
      </c>
      <c r="N9" s="52">
        <f>F9</f>
        <v/>
      </c>
      <c r="O9" s="56" t="n">
        <v>300.06</v>
      </c>
      <c r="P9" s="56">
        <f>F9/K9*O9</f>
        <v/>
      </c>
      <c r="Q9" s="56">
        <f>P9*K9</f>
        <v/>
      </c>
      <c r="R9" s="56">
        <f>Q9*0.12</f>
        <v/>
      </c>
      <c r="S9" s="56" t="n"/>
      <c r="T9" s="56">
        <f>F9/K9*S9</f>
        <v/>
      </c>
      <c r="U9" s="56">
        <f>T9*K9</f>
        <v/>
      </c>
      <c r="V9" s="52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</row>
    <row r="10">
      <c r="A10" s="57" t="inlineStr">
        <is>
          <t>Total</t>
        </is>
      </c>
      <c r="B10" s="58" t="n"/>
      <c r="C10" s="58">
        <f>SUM(C2:C9)</f>
        <v/>
      </c>
      <c r="D10" s="59" t="n"/>
      <c r="E10" s="59" t="n"/>
      <c r="F10" s="60">
        <f>SUM(F2:F9)</f>
        <v/>
      </c>
      <c r="G10" s="53">
        <f>F10/$F$10</f>
        <v/>
      </c>
      <c r="H10" s="60">
        <f>F10*0.8</f>
        <v/>
      </c>
      <c r="I10" s="53">
        <f>H10/$H$10</f>
        <v/>
      </c>
      <c r="J10" s="60" t="n"/>
      <c r="K10" s="60" t="n"/>
      <c r="L10" s="61" t="n"/>
      <c r="M10" s="46" t="n"/>
      <c r="N10" s="62">
        <f>SUM(N2:N9)</f>
        <v/>
      </c>
      <c r="O10" s="46" t="n"/>
      <c r="P10" s="46" t="n"/>
      <c r="Q10" s="63">
        <f>SUM(Q2:Q9)</f>
        <v/>
      </c>
      <c r="R10" s="63">
        <f>Q10*0.12</f>
        <v/>
      </c>
      <c r="S10" s="46" t="n"/>
      <c r="T10" s="46" t="n"/>
      <c r="U10" s="63">
        <f>SUM(U2:U9)</f>
        <v/>
      </c>
      <c r="V10" s="64">
        <f>U10-Q10-R10</f>
        <v/>
      </c>
      <c r="W10" s="65">
        <f>(U10-Q10)/U10</f>
        <v/>
      </c>
      <c r="X10" s="59" t="n"/>
      <c r="Y10" s="59" t="n"/>
      <c r="Z10" s="59" t="n"/>
      <c r="AA10" s="59" t="n"/>
      <c r="AB10" s="59" t="n"/>
      <c r="AC10" s="59" t="n"/>
      <c r="AD10" s="59" t="n"/>
      <c r="AE10" s="59" t="n"/>
      <c r="AF10" s="59" t="n"/>
      <c r="AG10" s="59" t="n"/>
      <c r="AH10" s="59" t="n"/>
    </row>
    <row r="11">
      <c r="B11" s="66" t="n"/>
      <c r="C11" s="66" t="n"/>
      <c r="D11" s="67" t="n"/>
      <c r="E11" s="67" t="n"/>
      <c r="F11" s="66" t="n"/>
      <c r="G11" s="67" t="n"/>
      <c r="H11" s="67" t="n"/>
      <c r="I11" s="67" t="n"/>
      <c r="J11" s="67" t="n"/>
      <c r="K11" s="68" t="n"/>
      <c r="L11" s="61" t="n"/>
      <c r="M11" s="61" t="n"/>
      <c r="N11" s="61" t="n"/>
      <c r="O11" s="69" t="n"/>
      <c r="P11" s="69" t="n"/>
      <c r="Q11" s="69" t="n"/>
      <c r="R11" s="69" t="n"/>
      <c r="S11" s="69" t="n"/>
      <c r="T11" s="56" t="n"/>
      <c r="U11" s="69" t="n"/>
      <c r="V11" s="69" t="n"/>
      <c r="W11" s="69" t="n"/>
      <c r="X11" s="67" t="n"/>
      <c r="Y11" s="67" t="n"/>
      <c r="Z11" s="67" t="n"/>
      <c r="AA11" s="61" t="n"/>
      <c r="AB11" s="61" t="n"/>
      <c r="AC11" s="61" t="n"/>
      <c r="AD11" s="61" t="n"/>
      <c r="AE11" s="61" t="n"/>
      <c r="AF11" s="61" t="n"/>
      <c r="AG11" s="61" t="n"/>
      <c r="AH11" s="61" t="n"/>
    </row>
    <row r="12">
      <c r="A12" s="70" t="n"/>
      <c r="B12" s="66" t="n"/>
      <c r="C12" s="66" t="n"/>
      <c r="D12" s="67" t="n"/>
      <c r="E12" s="67" t="n"/>
      <c r="F12" s="66" t="n"/>
      <c r="G12" s="67" t="n"/>
      <c r="H12" s="67" t="n"/>
      <c r="I12" s="67" t="n"/>
      <c r="J12" s="67" t="n"/>
      <c r="K12" s="68" t="n"/>
      <c r="L12" s="61" t="n"/>
      <c r="M12" s="62" t="n"/>
      <c r="N12" s="62" t="n"/>
      <c r="O12" s="69" t="n"/>
      <c r="P12" s="69" t="n"/>
      <c r="Q12" s="69" t="n"/>
      <c r="R12" s="69" t="n"/>
      <c r="S12" s="69" t="n"/>
      <c r="T12" s="56" t="n"/>
      <c r="U12" s="69" t="n"/>
      <c r="V12" s="69" t="n"/>
      <c r="W12" s="69" t="n"/>
      <c r="X12" s="67" t="n"/>
      <c r="Y12" s="67" t="n"/>
      <c r="Z12" s="67" t="n"/>
      <c r="AA12" s="61" t="n"/>
      <c r="AB12" s="61" t="n"/>
      <c r="AC12" s="61" t="n"/>
      <c r="AD12" s="61" t="n"/>
      <c r="AE12" s="61" t="n"/>
      <c r="AF12" s="61" t="n"/>
      <c r="AG12" s="61" t="n"/>
      <c r="AH12" s="61" t="n"/>
    </row>
    <row r="13">
      <c r="A13" s="70" t="n"/>
      <c r="B13" s="67" t="n"/>
      <c r="C13" s="67" t="n"/>
      <c r="D13" s="67" t="n"/>
      <c r="E13" s="67" t="n"/>
      <c r="F13" s="61" t="n"/>
      <c r="G13" s="61" t="n"/>
      <c r="H13" s="61" t="n"/>
      <c r="I13" s="61" t="n"/>
      <c r="J13" s="61" t="n"/>
      <c r="K13" s="61" t="n"/>
      <c r="L13" s="61" t="n"/>
      <c r="M13" s="65" t="n"/>
      <c r="N13" s="65" t="n"/>
      <c r="O13" s="69" t="n"/>
      <c r="P13" s="69" t="n"/>
      <c r="Q13" s="69" t="n"/>
      <c r="R13" s="69" t="n"/>
      <c r="S13" s="69" t="n"/>
      <c r="T13" s="56" t="n"/>
      <c r="U13" s="69" t="n"/>
      <c r="V13" s="69" t="n"/>
      <c r="W13" s="69" t="n"/>
      <c r="X13" s="61" t="n"/>
      <c r="Y13" s="61" t="n"/>
      <c r="Z13" s="67" t="n"/>
      <c r="AA13" s="61" t="n"/>
      <c r="AB13" s="61" t="n"/>
      <c r="AC13" s="61" t="n"/>
      <c r="AD13" s="61" t="n"/>
      <c r="AE13" s="61" t="n"/>
      <c r="AF13" s="61" t="n"/>
      <c r="AG13" s="61" t="n"/>
      <c r="AH13" s="61" t="n"/>
    </row>
    <row r="14">
      <c r="A14" s="61" t="n"/>
      <c r="B14" s="67" t="n"/>
      <c r="C14" s="67" t="n"/>
      <c r="D14" s="61" t="n"/>
      <c r="E14" s="61" t="n"/>
      <c r="F14" s="61" t="n"/>
      <c r="G14" s="61" t="n"/>
      <c r="H14" s="61" t="n"/>
      <c r="I14" s="61" t="n"/>
      <c r="J14" s="61" t="n"/>
      <c r="K14" s="68" t="n"/>
      <c r="L14" s="66" t="n"/>
      <c r="M14" s="71" t="n"/>
      <c r="N14" s="71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1" t="n"/>
      <c r="Y14" s="61" t="n"/>
      <c r="Z14" s="67" t="n"/>
      <c r="AA14" s="67" t="n"/>
      <c r="AB14" s="67" t="n"/>
      <c r="AC14" s="67" t="n"/>
      <c r="AD14" s="67" t="n"/>
      <c r="AE14" s="67" t="n"/>
      <c r="AF14" s="67" t="n"/>
      <c r="AG14" s="61" t="n"/>
      <c r="AH14" s="61" t="n"/>
    </row>
    <row r="15" ht="14.25" customHeight="1">
      <c r="A15" s="70" t="n"/>
      <c r="B15" s="67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7" t="n"/>
      <c r="L15" s="72" t="n"/>
      <c r="M15" s="73" t="n"/>
      <c r="N15" s="73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</row>
    <row r="16">
      <c r="A16" s="70" t="n"/>
      <c r="B16" s="67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74" t="n"/>
      <c r="X16" s="67" t="n"/>
      <c r="Y16" s="67" t="n"/>
      <c r="Z16" s="67" t="n"/>
      <c r="AA16" s="67" t="n"/>
      <c r="AB16" s="67" t="n"/>
      <c r="AC16" s="67" t="n"/>
      <c r="AD16" s="67" t="n"/>
      <c r="AE16" s="67" t="n"/>
      <c r="AF16" s="67" t="n"/>
      <c r="AG16" s="67" t="n"/>
      <c r="AH16" s="67" t="n"/>
    </row>
    <row r="17" ht="14.25" customHeight="1">
      <c r="A17" s="70" t="n"/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1" t="n"/>
      <c r="M17" s="61" t="n"/>
      <c r="N17" s="61" t="n"/>
      <c r="O17" s="61" t="n"/>
      <c r="P17" s="61" t="n"/>
      <c r="Q17" s="61" t="n"/>
      <c r="R17" s="61" t="n"/>
      <c r="S17" s="61" t="n"/>
      <c r="T17" s="61" t="n"/>
      <c r="U17" s="61" t="n"/>
      <c r="V17" s="61" t="n"/>
      <c r="W17" s="74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7" t="n"/>
    </row>
    <row r="18" ht="14.25" customHeight="1">
      <c r="A18" s="70" t="n"/>
      <c r="B18" s="67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67" t="n"/>
      <c r="L18" s="61" t="n"/>
      <c r="M18" s="61" t="n"/>
      <c r="N18" s="61" t="n"/>
      <c r="O18" s="61" t="n"/>
      <c r="P18" s="61" t="n"/>
      <c r="Q18" s="61" t="n"/>
      <c r="R18" s="61" t="n"/>
      <c r="S18" s="61" t="n"/>
      <c r="T18" s="61" t="n"/>
      <c r="U18" s="61" t="n"/>
      <c r="V18" s="61" t="n"/>
      <c r="W18" s="74" t="n"/>
      <c r="X18" s="67" t="n"/>
      <c r="Y18" s="67" t="n"/>
      <c r="Z18" s="67" t="n"/>
      <c r="AA18" s="67" t="n"/>
      <c r="AB18" s="67" t="n"/>
      <c r="AC18" s="67" t="n"/>
      <c r="AD18" s="67" t="n"/>
      <c r="AE18" s="67" t="n"/>
      <c r="AF18" s="67" t="n"/>
      <c r="AG18" s="67" t="n"/>
      <c r="AH18" s="67" t="n"/>
    </row>
    <row r="19" ht="14.25" customHeight="1">
      <c r="A19" s="70" t="n"/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1" t="n"/>
      <c r="V19" s="61" t="n"/>
      <c r="W19" s="74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  <c r="AG19" s="67" t="n"/>
      <c r="AH19" s="67" t="n"/>
    </row>
    <row r="20" ht="14.25" customHeight="1">
      <c r="A20" s="70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7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74" t="n"/>
      <c r="X20" s="67" t="n"/>
      <c r="Y20" s="67" t="n"/>
      <c r="Z20" s="67" t="n"/>
      <c r="AA20" s="67" t="n"/>
      <c r="AB20" s="67" t="n"/>
      <c r="AC20" s="67" t="n"/>
      <c r="AD20" s="67" t="n"/>
      <c r="AE20" s="67" t="n"/>
      <c r="AF20" s="67" t="n"/>
      <c r="AG20" s="67" t="n"/>
      <c r="AH20" s="67" t="n"/>
    </row>
    <row r="21" ht="14.25" customHeight="1">
      <c r="A21" s="70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1" t="n"/>
      <c r="M21" s="61" t="n"/>
      <c r="N21" s="61" t="n"/>
      <c r="O21" s="61" t="n"/>
      <c r="P21" s="61" t="n"/>
      <c r="Q21" s="61" t="n"/>
      <c r="R21" s="61" t="n"/>
      <c r="S21" s="61" t="n"/>
      <c r="T21" s="61" t="n"/>
      <c r="U21" s="61" t="n"/>
      <c r="V21" s="61" t="n"/>
      <c r="W21" s="74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</row>
    <row r="22" ht="14.25" customHeight="1">
      <c r="A22" s="70" t="n"/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1" t="n"/>
      <c r="M22" s="61" t="n"/>
      <c r="N22" s="61" t="n"/>
      <c r="O22" s="61" t="n"/>
      <c r="P22" s="61" t="n"/>
      <c r="Q22" s="61" t="n"/>
      <c r="R22" s="61" t="n"/>
      <c r="S22" s="61" t="n"/>
      <c r="T22" s="61" t="n"/>
      <c r="U22" s="61" t="n"/>
      <c r="V22" s="61" t="n"/>
      <c r="W22" s="74" t="n"/>
      <c r="X22" s="67" t="n"/>
      <c r="Y22" s="67" t="n"/>
      <c r="Z22" s="67" t="n"/>
      <c r="AA22" s="67" t="n"/>
      <c r="AB22" s="67" t="n"/>
      <c r="AC22" s="67" t="n"/>
      <c r="AD22" s="67" t="n"/>
      <c r="AE22" s="67" t="n"/>
      <c r="AF22" s="67" t="n"/>
      <c r="AG22" s="67" t="n"/>
      <c r="AH22" s="67" t="n"/>
    </row>
    <row r="23" ht="14.25" customHeight="1">
      <c r="A23" s="70" t="n"/>
      <c r="B23" s="67" t="n"/>
      <c r="C23" s="67" t="n"/>
      <c r="D23" s="67" t="n"/>
      <c r="E23" s="67" t="n"/>
      <c r="F23" s="67" t="n"/>
      <c r="G23" s="67" t="n"/>
      <c r="H23" s="67" t="n"/>
      <c r="I23" s="67" t="n"/>
      <c r="J23" s="67" t="n"/>
      <c r="K23" s="67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1" t="n"/>
      <c r="V23" s="61" t="n"/>
      <c r="W23" s="74" t="n"/>
      <c r="X23" s="67" t="n"/>
      <c r="Y23" s="67" t="n"/>
      <c r="Z23" s="67" t="n"/>
      <c r="AA23" s="67" t="n"/>
      <c r="AB23" s="67" t="n"/>
      <c r="AC23" s="67" t="n"/>
      <c r="AD23" s="67" t="n"/>
      <c r="AE23" s="67" t="n"/>
      <c r="AF23" s="67" t="n"/>
      <c r="AG23" s="67" t="n"/>
      <c r="AH23" s="67" t="n"/>
    </row>
    <row r="24" ht="14.25" customHeight="1">
      <c r="A24" s="70" t="n"/>
      <c r="B24" s="67" t="n"/>
      <c r="C24" s="67" t="n"/>
      <c r="D24" s="67" t="n"/>
      <c r="E24" s="67" t="n"/>
      <c r="F24" s="67" t="n"/>
      <c r="G24" s="67" t="n"/>
      <c r="H24" s="67" t="n"/>
      <c r="I24" s="67" t="n"/>
      <c r="J24" s="67" t="n"/>
      <c r="K24" s="67" t="n"/>
      <c r="L24" s="61" t="n"/>
      <c r="M24" s="61" t="n"/>
      <c r="N24" s="61" t="n"/>
      <c r="O24" s="61" t="n"/>
      <c r="P24" s="61" t="n"/>
      <c r="Q24" s="61" t="n"/>
      <c r="R24" s="61" t="n"/>
      <c r="S24" s="61" t="n"/>
      <c r="T24" s="61" t="n"/>
      <c r="U24" s="61" t="n"/>
      <c r="V24" s="61" t="n"/>
      <c r="W24" s="74" t="n"/>
      <c r="X24" s="67" t="n"/>
      <c r="Y24" s="67" t="n"/>
      <c r="Z24" s="67" t="n"/>
      <c r="AA24" s="67" t="n"/>
      <c r="AB24" s="67" t="n"/>
      <c r="AC24" s="67" t="n"/>
      <c r="AD24" s="67" t="n"/>
      <c r="AE24" s="67" t="n"/>
      <c r="AF24" s="67" t="n"/>
      <c r="AG24" s="67" t="n"/>
      <c r="AH24" s="67" t="n"/>
    </row>
    <row r="25" ht="14.25" customHeight="1">
      <c r="A25" s="70" t="n"/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74" t="n"/>
      <c r="X25" s="67" t="n"/>
      <c r="Y25" s="67" t="n"/>
      <c r="Z25" s="67" t="n"/>
      <c r="AA25" s="67" t="n"/>
      <c r="AB25" s="67" t="n"/>
      <c r="AC25" s="67" t="n"/>
      <c r="AD25" s="67" t="n"/>
      <c r="AE25" s="67" t="n"/>
      <c r="AF25" s="67" t="n"/>
      <c r="AG25" s="67" t="n"/>
      <c r="AH25" s="67" t="n"/>
    </row>
    <row r="26" ht="14.25" customHeight="1">
      <c r="A26" s="70" t="n"/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74" t="n"/>
      <c r="X26" s="67" t="n"/>
      <c r="Y26" s="67" t="n"/>
      <c r="Z26" s="67" t="n"/>
      <c r="AA26" s="67" t="n"/>
      <c r="AB26" s="67" t="n"/>
      <c r="AC26" s="67" t="n"/>
      <c r="AD26" s="67" t="n"/>
      <c r="AE26" s="67" t="n"/>
      <c r="AF26" s="67" t="n"/>
      <c r="AG26" s="67" t="n"/>
      <c r="AH26" s="67" t="n"/>
    </row>
    <row r="27" ht="14.25" customHeight="1">
      <c r="A27" s="70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7" t="n"/>
      <c r="K27" s="67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1" t="n"/>
      <c r="V27" s="61" t="n"/>
      <c r="W27" s="74" t="n"/>
      <c r="X27" s="67" t="n"/>
      <c r="Y27" s="67" t="n"/>
      <c r="Z27" s="67" t="n"/>
      <c r="AA27" s="67" t="n"/>
      <c r="AB27" s="67" t="n"/>
      <c r="AC27" s="67" t="n"/>
      <c r="AD27" s="67" t="n"/>
      <c r="AE27" s="67" t="n"/>
      <c r="AF27" s="67" t="n"/>
      <c r="AG27" s="67" t="n"/>
      <c r="AH27" s="67" t="n"/>
    </row>
    <row r="28" ht="14.25" customHeight="1">
      <c r="A28" s="70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61" t="n"/>
      <c r="U28" s="61" t="n"/>
      <c r="V28" s="61" t="n"/>
      <c r="W28" s="74" t="n"/>
      <c r="X28" s="67" t="n"/>
      <c r="Y28" s="67" t="n"/>
      <c r="Z28" s="67" t="n"/>
      <c r="AA28" s="67" t="n"/>
      <c r="AB28" s="67" t="n"/>
      <c r="AC28" s="67" t="n"/>
      <c r="AD28" s="67" t="n"/>
      <c r="AE28" s="67" t="n"/>
      <c r="AF28" s="67" t="n"/>
      <c r="AG28" s="67" t="n"/>
      <c r="AH28" s="67" t="n"/>
    </row>
    <row r="29" ht="14.25" customHeight="1">
      <c r="A29" s="70" t="n"/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1" t="n"/>
      <c r="M29" s="61" t="n"/>
      <c r="N29" s="61" t="n"/>
      <c r="O29" s="61" t="n"/>
      <c r="P29" s="61" t="n"/>
      <c r="Q29" s="61" t="n"/>
      <c r="R29" s="61" t="n"/>
      <c r="S29" s="61" t="n"/>
      <c r="T29" s="61" t="n"/>
      <c r="U29" s="61" t="n"/>
      <c r="V29" s="61" t="n"/>
      <c r="W29" s="74" t="n"/>
      <c r="X29" s="67" t="n"/>
      <c r="Y29" s="67" t="n"/>
      <c r="Z29" s="67" t="n"/>
      <c r="AA29" s="67" t="n"/>
      <c r="AB29" s="67" t="n"/>
      <c r="AC29" s="67" t="n"/>
      <c r="AD29" s="67" t="n"/>
      <c r="AE29" s="67" t="n"/>
      <c r="AF29" s="67" t="n"/>
      <c r="AG29" s="67" t="n"/>
      <c r="AH29" s="67" t="n"/>
    </row>
    <row r="30" ht="14.25" customHeight="1">
      <c r="A30" s="70" t="n"/>
      <c r="B30" s="67" t="n"/>
      <c r="C30" s="67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1" t="n"/>
      <c r="M30" s="61" t="n"/>
      <c r="N30" s="61" t="n"/>
      <c r="O30" s="61" t="n"/>
      <c r="P30" s="61" t="n"/>
      <c r="Q30" s="61" t="n"/>
      <c r="R30" s="61" t="n"/>
      <c r="S30" s="61" t="n"/>
      <c r="T30" s="61" t="n"/>
      <c r="U30" s="61" t="n"/>
      <c r="V30" s="61" t="n"/>
      <c r="W30" s="74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</row>
    <row r="31" ht="14.25" customHeight="1">
      <c r="A31" s="70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74" t="n"/>
      <c r="R31" s="74" t="n"/>
      <c r="S31" s="74" t="n"/>
      <c r="T31" s="67" t="n"/>
      <c r="U31" s="67" t="n"/>
      <c r="V31" s="67" t="n"/>
      <c r="W31" s="74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  <c r="AH31" s="67" t="n"/>
    </row>
    <row r="32" ht="14.25" customHeight="1">
      <c r="A32" s="70" t="n"/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74" t="n"/>
      <c r="R32" s="74" t="n"/>
      <c r="S32" s="74" t="n"/>
      <c r="T32" s="67" t="n"/>
      <c r="U32" s="67" t="n"/>
      <c r="V32" s="67" t="n"/>
      <c r="W32" s="74" t="n"/>
      <c r="X32" s="67" t="n"/>
      <c r="Y32" s="67" t="n"/>
      <c r="Z32" s="67" t="n"/>
      <c r="AA32" s="67" t="n"/>
      <c r="AB32" s="67" t="n"/>
      <c r="AC32" s="67" t="n"/>
      <c r="AD32" s="67" t="n"/>
      <c r="AE32" s="67" t="n"/>
      <c r="AF32" s="67" t="n"/>
      <c r="AG32" s="67" t="n"/>
      <c r="AH32" s="67" t="n"/>
    </row>
    <row r="33" ht="14.25" customHeight="1">
      <c r="A33" s="70" t="n"/>
      <c r="B33" s="67" t="n"/>
      <c r="C33" s="67" t="n"/>
      <c r="D33" s="67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74" t="n"/>
      <c r="R33" s="74" t="n"/>
      <c r="S33" s="74" t="n"/>
      <c r="T33" s="67" t="n"/>
      <c r="U33" s="67" t="n"/>
      <c r="V33" s="67" t="n"/>
      <c r="W33" s="74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  <c r="AG33" s="67" t="n"/>
      <c r="AH33" s="67" t="n"/>
    </row>
    <row r="34" ht="14.25" customHeight="1">
      <c r="A34" s="70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74" t="n"/>
      <c r="R34" s="74" t="n"/>
      <c r="S34" s="74" t="n"/>
      <c r="T34" s="67" t="n"/>
      <c r="U34" s="67" t="n"/>
      <c r="V34" s="67" t="n"/>
      <c r="W34" s="74" t="n"/>
      <c r="X34" s="67" t="n"/>
      <c r="Y34" s="67" t="n"/>
      <c r="Z34" s="67" t="n"/>
      <c r="AA34" s="67" t="n"/>
      <c r="AB34" s="67" t="n"/>
      <c r="AC34" s="67" t="n"/>
      <c r="AD34" s="67" t="n"/>
      <c r="AE34" s="67" t="n"/>
      <c r="AF34" s="67" t="n"/>
      <c r="AG34" s="67" t="n"/>
      <c r="AH34" s="67" t="n"/>
    </row>
    <row r="35" ht="14.25" customHeight="1">
      <c r="A35" s="70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74" t="n"/>
      <c r="R35" s="74" t="n"/>
      <c r="S35" s="74" t="n"/>
      <c r="T35" s="67" t="n"/>
      <c r="U35" s="67" t="n"/>
      <c r="V35" s="67" t="n"/>
      <c r="W35" s="74" t="n"/>
      <c r="X35" s="67" t="n"/>
      <c r="Y35" s="67" t="n"/>
      <c r="Z35" s="67" t="n"/>
      <c r="AA35" s="67" t="n"/>
      <c r="AB35" s="67" t="n"/>
      <c r="AC35" s="67" t="n"/>
      <c r="AD35" s="67" t="n"/>
      <c r="AE35" s="67" t="n"/>
      <c r="AF35" s="67" t="n"/>
      <c r="AG35" s="67" t="n"/>
      <c r="AH35" s="67" t="n"/>
    </row>
    <row r="36" ht="14.25" customHeight="1">
      <c r="A36" s="70" t="n"/>
      <c r="B36" s="67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74" t="n"/>
      <c r="R36" s="74" t="n"/>
      <c r="S36" s="74" t="n"/>
      <c r="T36" s="67" t="n"/>
      <c r="U36" s="67" t="n"/>
      <c r="V36" s="67" t="n"/>
      <c r="W36" s="74" t="n"/>
      <c r="X36" s="67" t="n"/>
      <c r="Y36" s="67" t="n"/>
      <c r="Z36" s="67" t="n"/>
      <c r="AA36" s="67" t="n"/>
      <c r="AB36" s="67" t="n"/>
      <c r="AC36" s="67" t="n"/>
      <c r="AD36" s="67" t="n"/>
      <c r="AE36" s="67" t="n"/>
      <c r="AF36" s="67" t="n"/>
      <c r="AG36" s="67" t="n"/>
      <c r="AH36" s="67" t="n"/>
    </row>
    <row r="37" ht="14.25" customHeight="1">
      <c r="A37" s="70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74" t="n"/>
      <c r="R37" s="74" t="n"/>
      <c r="S37" s="74" t="n"/>
      <c r="T37" s="67" t="n"/>
      <c r="U37" s="67" t="n"/>
      <c r="V37" s="67" t="n"/>
      <c r="W37" s="74" t="n"/>
      <c r="X37" s="67" t="n"/>
      <c r="Y37" s="67" t="n"/>
      <c r="Z37" s="67" t="n"/>
      <c r="AA37" s="67" t="n"/>
      <c r="AB37" s="67" t="n"/>
      <c r="AC37" s="67" t="n"/>
      <c r="AD37" s="67" t="n"/>
      <c r="AE37" s="67" t="n"/>
      <c r="AF37" s="67" t="n"/>
      <c r="AG37" s="67" t="n"/>
      <c r="AH37" s="67" t="n"/>
    </row>
    <row r="38" ht="14.25" customHeight="1">
      <c r="A38" s="70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74" t="n"/>
      <c r="R38" s="74" t="n"/>
      <c r="S38" s="74" t="n"/>
      <c r="T38" s="67" t="n"/>
      <c r="U38" s="67" t="n"/>
      <c r="V38" s="67" t="n"/>
      <c r="W38" s="74" t="n"/>
      <c r="X38" s="67" t="n"/>
      <c r="Y38" s="67" t="n"/>
      <c r="Z38" s="67" t="n"/>
      <c r="AA38" s="67" t="n"/>
      <c r="AB38" s="67" t="n"/>
      <c r="AC38" s="67" t="n"/>
      <c r="AD38" s="67" t="n"/>
      <c r="AE38" s="67" t="n"/>
      <c r="AF38" s="67" t="n"/>
      <c r="AG38" s="67" t="n"/>
      <c r="AH38" s="67" t="n"/>
    </row>
    <row r="39" ht="14.25" customHeight="1">
      <c r="A39" s="70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74" t="n"/>
      <c r="R39" s="74" t="n"/>
      <c r="S39" s="74" t="n"/>
      <c r="T39" s="67" t="n"/>
      <c r="U39" s="67" t="n"/>
      <c r="V39" s="67" t="n"/>
      <c r="W39" s="74" t="n"/>
      <c r="X39" s="67" t="n"/>
      <c r="Y39" s="67" t="n"/>
      <c r="Z39" s="67" t="n"/>
      <c r="AA39" s="67" t="n"/>
      <c r="AB39" s="67" t="n"/>
      <c r="AC39" s="67" t="n"/>
      <c r="AD39" s="67" t="n"/>
      <c r="AE39" s="67" t="n"/>
      <c r="AF39" s="67" t="n"/>
      <c r="AG39" s="67" t="n"/>
      <c r="AH39" s="67" t="n"/>
    </row>
    <row r="40" ht="14.25" customHeight="1">
      <c r="A40" s="70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74" t="n"/>
      <c r="R40" s="74" t="n"/>
      <c r="S40" s="74" t="n"/>
      <c r="T40" s="67" t="n"/>
      <c r="U40" s="67" t="n"/>
      <c r="V40" s="67" t="n"/>
      <c r="W40" s="74" t="n"/>
      <c r="X40" s="67" t="n"/>
      <c r="Y40" s="67" t="n"/>
      <c r="Z40" s="67" t="n"/>
      <c r="AA40" s="67" t="n"/>
      <c r="AB40" s="67" t="n"/>
      <c r="AC40" s="67" t="n"/>
      <c r="AD40" s="67" t="n"/>
      <c r="AE40" s="67" t="n"/>
      <c r="AF40" s="67" t="n"/>
      <c r="AG40" s="67" t="n"/>
      <c r="AH40" s="67" t="n"/>
    </row>
    <row r="41" ht="14.25" customHeight="1">
      <c r="A41" s="70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74" t="n"/>
      <c r="R41" s="74" t="n"/>
      <c r="S41" s="74" t="n"/>
      <c r="T41" s="67" t="n"/>
      <c r="U41" s="67" t="n"/>
      <c r="V41" s="67" t="n"/>
      <c r="W41" s="74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  <c r="AH41" s="67" t="n"/>
    </row>
    <row r="42" ht="14.25" customHeight="1">
      <c r="A42" s="70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74" t="n"/>
      <c r="R42" s="74" t="n"/>
      <c r="S42" s="74" t="n"/>
      <c r="T42" s="67" t="n"/>
      <c r="U42" s="67" t="n"/>
      <c r="V42" s="67" t="n"/>
      <c r="W42" s="74" t="n"/>
      <c r="X42" s="67" t="n"/>
      <c r="Y42" s="67" t="n"/>
      <c r="Z42" s="67" t="n"/>
      <c r="AA42" s="67" t="n"/>
      <c r="AB42" s="67" t="n"/>
      <c r="AC42" s="67" t="n"/>
      <c r="AD42" s="67" t="n"/>
      <c r="AE42" s="67" t="n"/>
      <c r="AF42" s="67" t="n"/>
      <c r="AG42" s="67" t="n"/>
      <c r="AH42" s="67" t="n"/>
    </row>
    <row r="43" ht="14.25" customHeight="1">
      <c r="A43" s="70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74" t="n"/>
      <c r="R43" s="74" t="n"/>
      <c r="S43" s="74" t="n"/>
      <c r="T43" s="67" t="n"/>
      <c r="U43" s="67" t="n"/>
      <c r="V43" s="67" t="n"/>
      <c r="W43" s="74" t="n"/>
      <c r="X43" s="67" t="n"/>
      <c r="Y43" s="67" t="n"/>
      <c r="Z43" s="67" t="n"/>
      <c r="AA43" s="67" t="n"/>
      <c r="AB43" s="67" t="n"/>
      <c r="AC43" s="67" t="n"/>
      <c r="AD43" s="67" t="n"/>
      <c r="AE43" s="67" t="n"/>
      <c r="AF43" s="67" t="n"/>
      <c r="AG43" s="67" t="n"/>
      <c r="AH43" s="67" t="n"/>
    </row>
    <row r="44" ht="14.25" customHeight="1">
      <c r="A44" s="70" t="n"/>
      <c r="B44" s="67" t="n"/>
      <c r="C44" s="67" t="n"/>
      <c r="D44" s="67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74" t="n"/>
      <c r="R44" s="74" t="n"/>
      <c r="S44" s="74" t="n"/>
      <c r="T44" s="67" t="n"/>
      <c r="U44" s="67" t="n"/>
      <c r="V44" s="67" t="n"/>
      <c r="W44" s="74" t="n"/>
      <c r="X44" s="67" t="n"/>
      <c r="Y44" s="67" t="n"/>
      <c r="Z44" s="67" t="n"/>
      <c r="AA44" s="67" t="n"/>
      <c r="AB44" s="67" t="n"/>
      <c r="AC44" s="67" t="n"/>
      <c r="AD44" s="67" t="n"/>
      <c r="AE44" s="67" t="n"/>
      <c r="AF44" s="67" t="n"/>
      <c r="AG44" s="67" t="n"/>
      <c r="AH44" s="67" t="n"/>
    </row>
    <row r="45" ht="14.25" customHeight="1">
      <c r="A45" s="70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74" t="n"/>
      <c r="R45" s="74" t="n"/>
      <c r="S45" s="74" t="n"/>
      <c r="T45" s="67" t="n"/>
      <c r="U45" s="67" t="n"/>
      <c r="V45" s="67" t="n"/>
      <c r="W45" s="74" t="n"/>
      <c r="X45" s="67" t="n"/>
      <c r="Y45" s="67" t="n"/>
      <c r="Z45" s="67" t="n"/>
      <c r="AA45" s="67" t="n"/>
      <c r="AB45" s="67" t="n"/>
      <c r="AC45" s="67" t="n"/>
      <c r="AD45" s="67" t="n"/>
      <c r="AE45" s="67" t="n"/>
      <c r="AF45" s="67" t="n"/>
      <c r="AG45" s="67" t="n"/>
      <c r="AH45" s="67" t="n"/>
    </row>
    <row r="46" ht="14.25" customHeight="1">
      <c r="A46" s="70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74" t="n"/>
      <c r="R46" s="74" t="n"/>
      <c r="S46" s="74" t="n"/>
      <c r="T46" s="67" t="n"/>
      <c r="U46" s="67" t="n"/>
      <c r="V46" s="67" t="n"/>
      <c r="W46" s="74" t="n"/>
      <c r="X46" s="67" t="n"/>
      <c r="Y46" s="67" t="n"/>
      <c r="Z46" s="67" t="n"/>
      <c r="AA46" s="67" t="n"/>
      <c r="AB46" s="67" t="n"/>
      <c r="AC46" s="67" t="n"/>
      <c r="AD46" s="67" t="n"/>
      <c r="AE46" s="67" t="n"/>
      <c r="AF46" s="67" t="n"/>
      <c r="AG46" s="67" t="n"/>
      <c r="AH46" s="67" t="n"/>
    </row>
    <row r="47" ht="14.25" customHeight="1">
      <c r="A47" s="70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74" t="n"/>
      <c r="R47" s="74" t="n"/>
      <c r="S47" s="74" t="n"/>
      <c r="T47" s="67" t="n"/>
      <c r="U47" s="67" t="n"/>
      <c r="V47" s="67" t="n"/>
      <c r="W47" s="74" t="n"/>
      <c r="X47" s="67" t="n"/>
      <c r="Y47" s="67" t="n"/>
      <c r="Z47" s="67" t="n"/>
      <c r="AA47" s="67" t="n"/>
      <c r="AB47" s="67" t="n"/>
      <c r="AC47" s="67" t="n"/>
      <c r="AD47" s="67" t="n"/>
      <c r="AE47" s="67" t="n"/>
      <c r="AF47" s="67" t="n"/>
      <c r="AG47" s="67" t="n"/>
      <c r="AH47" s="67" t="n"/>
    </row>
    <row r="48" ht="14.25" customHeight="1">
      <c r="A48" s="70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74" t="n"/>
      <c r="R48" s="74" t="n"/>
      <c r="S48" s="74" t="n"/>
      <c r="T48" s="67" t="n"/>
      <c r="U48" s="67" t="n"/>
      <c r="V48" s="67" t="n"/>
      <c r="W48" s="74" t="n"/>
      <c r="X48" s="67" t="n"/>
      <c r="Y48" s="67" t="n"/>
      <c r="Z48" s="67" t="n"/>
      <c r="AA48" s="67" t="n"/>
      <c r="AB48" s="67" t="n"/>
      <c r="AC48" s="67" t="n"/>
      <c r="AD48" s="67" t="n"/>
      <c r="AE48" s="67" t="n"/>
      <c r="AF48" s="67" t="n"/>
      <c r="AG48" s="67" t="n"/>
      <c r="AH48" s="67" t="n"/>
    </row>
    <row r="49" ht="14.25" customHeight="1">
      <c r="A49" s="70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74" t="n"/>
      <c r="R49" s="74" t="n"/>
      <c r="S49" s="74" t="n"/>
      <c r="T49" s="67" t="n"/>
      <c r="U49" s="67" t="n"/>
      <c r="V49" s="67" t="n"/>
      <c r="W49" s="74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  <c r="AG49" s="67" t="n"/>
      <c r="AH49" s="67" t="n"/>
    </row>
    <row r="50" ht="14.25" customHeight="1">
      <c r="A50" s="70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74" t="n"/>
      <c r="R50" s="74" t="n"/>
      <c r="S50" s="74" t="n"/>
      <c r="T50" s="67" t="n"/>
      <c r="U50" s="67" t="n"/>
      <c r="V50" s="67" t="n"/>
      <c r="W50" s="74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</row>
    <row r="51" ht="14.25" customHeight="1">
      <c r="A51" s="70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74" t="n"/>
      <c r="R51" s="74" t="n"/>
      <c r="S51" s="74" t="n"/>
      <c r="T51" s="67" t="n"/>
      <c r="U51" s="67" t="n"/>
      <c r="V51" s="67" t="n"/>
      <c r="W51" s="74" t="n"/>
      <c r="X51" s="67" t="n"/>
      <c r="Y51" s="67" t="n"/>
      <c r="Z51" s="67" t="n"/>
      <c r="AA51" s="67" t="n"/>
      <c r="AB51" s="67" t="n"/>
      <c r="AC51" s="67" t="n"/>
      <c r="AD51" s="67" t="n"/>
      <c r="AE51" s="67" t="n"/>
      <c r="AF51" s="67" t="n"/>
      <c r="AG51" s="67" t="n"/>
      <c r="AH51" s="67" t="n"/>
    </row>
    <row r="52" ht="14.25" customHeight="1">
      <c r="A52" s="70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74" t="n"/>
      <c r="R52" s="74" t="n"/>
      <c r="S52" s="74" t="n"/>
      <c r="T52" s="67" t="n"/>
      <c r="U52" s="67" t="n"/>
      <c r="V52" s="67" t="n"/>
      <c r="W52" s="74" t="n"/>
      <c r="X52" s="67" t="n"/>
      <c r="Y52" s="67" t="n"/>
      <c r="Z52" s="67" t="n"/>
      <c r="AA52" s="67" t="n"/>
      <c r="AB52" s="67" t="n"/>
      <c r="AC52" s="67" t="n"/>
      <c r="AD52" s="67" t="n"/>
      <c r="AE52" s="67" t="n"/>
      <c r="AF52" s="67" t="n"/>
      <c r="AG52" s="67" t="n"/>
      <c r="AH52" s="67" t="n"/>
    </row>
    <row r="53" ht="14.25" customHeight="1">
      <c r="A53" s="70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74" t="n"/>
      <c r="R53" s="74" t="n"/>
      <c r="S53" s="74" t="n"/>
      <c r="T53" s="67" t="n"/>
      <c r="U53" s="67" t="n"/>
      <c r="V53" s="67" t="n"/>
      <c r="W53" s="74" t="n"/>
      <c r="X53" s="67" t="n"/>
      <c r="Y53" s="67" t="n"/>
      <c r="Z53" s="67" t="n"/>
      <c r="AA53" s="67" t="n"/>
      <c r="AB53" s="67" t="n"/>
      <c r="AC53" s="67" t="n"/>
      <c r="AD53" s="67" t="n"/>
      <c r="AE53" s="67" t="n"/>
      <c r="AF53" s="67" t="n"/>
      <c r="AG53" s="67" t="n"/>
      <c r="AH53" s="67" t="n"/>
    </row>
    <row r="54" ht="14.25" customHeight="1">
      <c r="A54" s="70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74" t="n"/>
      <c r="R54" s="74" t="n"/>
      <c r="S54" s="74" t="n"/>
      <c r="T54" s="67" t="n"/>
      <c r="U54" s="67" t="n"/>
      <c r="V54" s="67" t="n"/>
      <c r="W54" s="74" t="n"/>
      <c r="X54" s="67" t="n"/>
      <c r="Y54" s="67" t="n"/>
      <c r="Z54" s="67" t="n"/>
      <c r="AA54" s="67" t="n"/>
      <c r="AB54" s="67" t="n"/>
      <c r="AC54" s="67" t="n"/>
      <c r="AD54" s="67" t="n"/>
      <c r="AE54" s="67" t="n"/>
      <c r="AF54" s="67" t="n"/>
      <c r="AG54" s="67" t="n"/>
      <c r="AH54" s="67" t="n"/>
    </row>
    <row r="55" ht="14.25" customHeight="1">
      <c r="A55" s="70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74" t="n"/>
      <c r="R55" s="74" t="n"/>
      <c r="S55" s="74" t="n"/>
      <c r="T55" s="67" t="n"/>
      <c r="U55" s="67" t="n"/>
      <c r="V55" s="67" t="n"/>
      <c r="W55" s="74" t="n"/>
      <c r="X55" s="67" t="n"/>
      <c r="Y55" s="67" t="n"/>
      <c r="Z55" s="67" t="n"/>
      <c r="AA55" s="67" t="n"/>
      <c r="AB55" s="67" t="n"/>
      <c r="AC55" s="67" t="n"/>
      <c r="AD55" s="67" t="n"/>
      <c r="AE55" s="67" t="n"/>
      <c r="AF55" s="67" t="n"/>
      <c r="AG55" s="67" t="n"/>
      <c r="AH55" s="67" t="n"/>
    </row>
    <row r="56" ht="14.25" customHeight="1">
      <c r="A56" s="70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74" t="n"/>
      <c r="R56" s="74" t="n"/>
      <c r="S56" s="74" t="n"/>
      <c r="T56" s="67" t="n"/>
      <c r="U56" s="67" t="n"/>
      <c r="V56" s="67" t="n"/>
      <c r="W56" s="74" t="n"/>
      <c r="X56" s="67" t="n"/>
      <c r="Y56" s="67" t="n"/>
      <c r="Z56" s="67" t="n"/>
      <c r="AA56" s="67" t="n"/>
      <c r="AB56" s="67" t="n"/>
      <c r="AC56" s="67" t="n"/>
      <c r="AD56" s="67" t="n"/>
      <c r="AE56" s="67" t="n"/>
      <c r="AF56" s="67" t="n"/>
      <c r="AG56" s="67" t="n"/>
      <c r="AH56" s="67" t="n"/>
    </row>
    <row r="57" ht="14.25" customHeight="1">
      <c r="A57" s="70" t="n"/>
      <c r="B57" s="67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74" t="n"/>
      <c r="R57" s="74" t="n"/>
      <c r="S57" s="74" t="n"/>
      <c r="T57" s="67" t="n"/>
      <c r="U57" s="67" t="n"/>
      <c r="V57" s="67" t="n"/>
      <c r="W57" s="74" t="n"/>
      <c r="X57" s="67" t="n"/>
      <c r="Y57" s="67" t="n"/>
      <c r="Z57" s="67" t="n"/>
      <c r="AA57" s="67" t="n"/>
      <c r="AB57" s="67" t="n"/>
      <c r="AC57" s="67" t="n"/>
      <c r="AD57" s="67" t="n"/>
      <c r="AE57" s="67" t="n"/>
      <c r="AF57" s="67" t="n"/>
      <c r="AG57" s="67" t="n"/>
      <c r="AH57" s="67" t="n"/>
    </row>
    <row r="58" ht="14.25" customHeight="1">
      <c r="A58" s="70" t="n"/>
      <c r="B58" s="67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74" t="n"/>
      <c r="R58" s="74" t="n"/>
      <c r="S58" s="74" t="n"/>
      <c r="T58" s="67" t="n"/>
      <c r="U58" s="67" t="n"/>
      <c r="V58" s="67" t="n"/>
      <c r="W58" s="74" t="n"/>
      <c r="X58" s="67" t="n"/>
      <c r="Y58" s="67" t="n"/>
      <c r="Z58" s="67" t="n"/>
      <c r="AA58" s="67" t="n"/>
      <c r="AB58" s="67" t="n"/>
      <c r="AC58" s="67" t="n"/>
      <c r="AD58" s="67" t="n"/>
      <c r="AE58" s="67" t="n"/>
      <c r="AF58" s="67" t="n"/>
      <c r="AG58" s="67" t="n"/>
      <c r="AH58" s="67" t="n"/>
    </row>
    <row r="59" ht="14.25" customHeight="1">
      <c r="A59" s="70" t="n"/>
      <c r="B59" s="67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74" t="n"/>
      <c r="R59" s="74" t="n"/>
      <c r="S59" s="74" t="n"/>
      <c r="T59" s="67" t="n"/>
      <c r="U59" s="67" t="n"/>
      <c r="V59" s="67" t="n"/>
      <c r="W59" s="74" t="n"/>
      <c r="X59" s="67" t="n"/>
      <c r="Y59" s="67" t="n"/>
      <c r="Z59" s="67" t="n"/>
      <c r="AA59" s="67" t="n"/>
      <c r="AB59" s="67" t="n"/>
      <c r="AC59" s="67" t="n"/>
      <c r="AD59" s="67" t="n"/>
      <c r="AE59" s="67" t="n"/>
      <c r="AF59" s="67" t="n"/>
      <c r="AG59" s="67" t="n"/>
      <c r="AH59" s="67" t="n"/>
    </row>
    <row r="60" ht="14.25" customHeight="1">
      <c r="A60" s="70" t="n"/>
      <c r="B60" s="67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74" t="n"/>
      <c r="R60" s="74" t="n"/>
      <c r="S60" s="74" t="n"/>
      <c r="T60" s="67" t="n"/>
      <c r="U60" s="67" t="n"/>
      <c r="V60" s="67" t="n"/>
      <c r="W60" s="74" t="n"/>
      <c r="X60" s="67" t="n"/>
      <c r="Y60" s="67" t="n"/>
      <c r="Z60" s="67" t="n"/>
      <c r="AA60" s="67" t="n"/>
      <c r="AB60" s="67" t="n"/>
      <c r="AC60" s="67" t="n"/>
      <c r="AD60" s="67" t="n"/>
      <c r="AE60" s="67" t="n"/>
      <c r="AF60" s="67" t="n"/>
      <c r="AG60" s="67" t="n"/>
      <c r="AH60" s="67" t="n"/>
    </row>
    <row r="61" ht="14.25" customHeight="1">
      <c r="A61" s="70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74" t="n"/>
      <c r="R61" s="74" t="n"/>
      <c r="S61" s="74" t="n"/>
      <c r="T61" s="67" t="n"/>
      <c r="U61" s="67" t="n"/>
      <c r="V61" s="67" t="n"/>
      <c r="W61" s="74" t="n"/>
      <c r="X61" s="67" t="n"/>
      <c r="Y61" s="67" t="n"/>
      <c r="Z61" s="67" t="n"/>
      <c r="AA61" s="67" t="n"/>
      <c r="AB61" s="67" t="n"/>
      <c r="AC61" s="67" t="n"/>
      <c r="AD61" s="67" t="n"/>
      <c r="AE61" s="67" t="n"/>
      <c r="AF61" s="67" t="n"/>
      <c r="AG61" s="67" t="n"/>
      <c r="AH61" s="67" t="n"/>
    </row>
    <row r="62" ht="14.25" customHeight="1">
      <c r="A62" s="70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74" t="n"/>
      <c r="R62" s="74" t="n"/>
      <c r="S62" s="74" t="n"/>
      <c r="T62" s="67" t="n"/>
      <c r="U62" s="67" t="n"/>
      <c r="V62" s="67" t="n"/>
      <c r="W62" s="74" t="n"/>
      <c r="X62" s="67" t="n"/>
      <c r="Y62" s="67" t="n"/>
      <c r="Z62" s="67" t="n"/>
      <c r="AA62" s="67" t="n"/>
      <c r="AB62" s="67" t="n"/>
      <c r="AC62" s="67" t="n"/>
      <c r="AD62" s="67" t="n"/>
      <c r="AE62" s="67" t="n"/>
      <c r="AF62" s="67" t="n"/>
      <c r="AG62" s="67" t="n"/>
      <c r="AH62" s="67" t="n"/>
    </row>
    <row r="63" ht="14.25" customHeight="1">
      <c r="A63" s="70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74" t="n"/>
      <c r="R63" s="74" t="n"/>
      <c r="S63" s="74" t="n"/>
      <c r="T63" s="67" t="n"/>
      <c r="U63" s="67" t="n"/>
      <c r="V63" s="67" t="n"/>
      <c r="W63" s="74" t="n"/>
      <c r="X63" s="67" t="n"/>
      <c r="Y63" s="67" t="n"/>
      <c r="Z63" s="67" t="n"/>
      <c r="AA63" s="67" t="n"/>
      <c r="AB63" s="67" t="n"/>
      <c r="AC63" s="67" t="n"/>
      <c r="AD63" s="67" t="n"/>
      <c r="AE63" s="67" t="n"/>
      <c r="AF63" s="67" t="n"/>
      <c r="AG63" s="67" t="n"/>
      <c r="AH63" s="67" t="n"/>
    </row>
    <row r="64" ht="14.25" customHeight="1">
      <c r="A64" s="70" t="n"/>
      <c r="B64" s="67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74" t="n"/>
      <c r="R64" s="74" t="n"/>
      <c r="S64" s="74" t="n"/>
      <c r="T64" s="67" t="n"/>
      <c r="U64" s="67" t="n"/>
      <c r="V64" s="67" t="n"/>
      <c r="W64" s="74" t="n"/>
      <c r="X64" s="67" t="n"/>
      <c r="Y64" s="67" t="n"/>
      <c r="Z64" s="67" t="n"/>
      <c r="AA64" s="67" t="n"/>
      <c r="AB64" s="67" t="n"/>
      <c r="AC64" s="67" t="n"/>
      <c r="AD64" s="67" t="n"/>
      <c r="AE64" s="67" t="n"/>
      <c r="AF64" s="67" t="n"/>
      <c r="AG64" s="67" t="n"/>
      <c r="AH64" s="67" t="n"/>
    </row>
    <row r="65" ht="14.25" customHeight="1">
      <c r="A65" s="70" t="n"/>
      <c r="B65" s="67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74" t="n"/>
      <c r="R65" s="74" t="n"/>
      <c r="S65" s="74" t="n"/>
      <c r="T65" s="67" t="n"/>
      <c r="U65" s="67" t="n"/>
      <c r="V65" s="67" t="n"/>
      <c r="W65" s="74" t="n"/>
      <c r="X65" s="67" t="n"/>
      <c r="Y65" s="67" t="n"/>
      <c r="Z65" s="67" t="n"/>
      <c r="AA65" s="67" t="n"/>
      <c r="AB65" s="67" t="n"/>
      <c r="AC65" s="67" t="n"/>
      <c r="AD65" s="67" t="n"/>
      <c r="AE65" s="67" t="n"/>
      <c r="AF65" s="67" t="n"/>
      <c r="AG65" s="67" t="n"/>
      <c r="AH65" s="67" t="n"/>
    </row>
    <row r="66" ht="14.25" customHeight="1">
      <c r="A66" s="70" t="n"/>
      <c r="B66" s="67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74" t="n"/>
      <c r="R66" s="74" t="n"/>
      <c r="S66" s="74" t="n"/>
      <c r="T66" s="67" t="n"/>
      <c r="U66" s="67" t="n"/>
      <c r="V66" s="67" t="n"/>
      <c r="W66" s="74" t="n"/>
      <c r="X66" s="67" t="n"/>
      <c r="Y66" s="67" t="n"/>
      <c r="Z66" s="67" t="n"/>
      <c r="AA66" s="67" t="n"/>
      <c r="AB66" s="67" t="n"/>
      <c r="AC66" s="67" t="n"/>
      <c r="AD66" s="67" t="n"/>
      <c r="AE66" s="67" t="n"/>
      <c r="AF66" s="67" t="n"/>
      <c r="AG66" s="67" t="n"/>
      <c r="AH66" s="67" t="n"/>
    </row>
    <row r="67" ht="14.25" customHeight="1">
      <c r="A67" s="70" t="n"/>
      <c r="B67" s="67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74" t="n"/>
      <c r="R67" s="74" t="n"/>
      <c r="S67" s="74" t="n"/>
      <c r="T67" s="67" t="n"/>
      <c r="U67" s="67" t="n"/>
      <c r="V67" s="67" t="n"/>
      <c r="W67" s="74" t="n"/>
      <c r="X67" s="67" t="n"/>
      <c r="Y67" s="67" t="n"/>
      <c r="Z67" s="67" t="n"/>
      <c r="AA67" s="67" t="n"/>
      <c r="AB67" s="67" t="n"/>
      <c r="AC67" s="67" t="n"/>
      <c r="AD67" s="67" t="n"/>
      <c r="AE67" s="67" t="n"/>
      <c r="AF67" s="67" t="n"/>
      <c r="AG67" s="67" t="n"/>
      <c r="AH67" s="67" t="n"/>
    </row>
    <row r="68" ht="14.25" customHeight="1">
      <c r="A68" s="70" t="n"/>
      <c r="B68" s="67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74" t="n"/>
      <c r="R68" s="74" t="n"/>
      <c r="S68" s="74" t="n"/>
      <c r="T68" s="67" t="n"/>
      <c r="U68" s="67" t="n"/>
      <c r="V68" s="67" t="n"/>
      <c r="W68" s="74" t="n"/>
      <c r="X68" s="67" t="n"/>
      <c r="Y68" s="67" t="n"/>
      <c r="Z68" s="67" t="n"/>
      <c r="AA68" s="67" t="n"/>
      <c r="AB68" s="67" t="n"/>
      <c r="AC68" s="67" t="n"/>
      <c r="AD68" s="67" t="n"/>
      <c r="AE68" s="67" t="n"/>
      <c r="AF68" s="67" t="n"/>
      <c r="AG68" s="67" t="n"/>
      <c r="AH68" s="67" t="n"/>
    </row>
    <row r="69" ht="14.25" customHeight="1">
      <c r="A69" s="70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74" t="n"/>
      <c r="R69" s="74" t="n"/>
      <c r="S69" s="74" t="n"/>
      <c r="T69" s="67" t="n"/>
      <c r="U69" s="67" t="n"/>
      <c r="V69" s="67" t="n"/>
      <c r="W69" s="74" t="n"/>
      <c r="X69" s="67" t="n"/>
      <c r="Y69" s="67" t="n"/>
      <c r="Z69" s="67" t="n"/>
      <c r="AA69" s="67" t="n"/>
      <c r="AB69" s="67" t="n"/>
      <c r="AC69" s="67" t="n"/>
      <c r="AD69" s="67" t="n"/>
      <c r="AE69" s="67" t="n"/>
      <c r="AF69" s="67" t="n"/>
      <c r="AG69" s="67" t="n"/>
      <c r="AH69" s="67" t="n"/>
    </row>
    <row r="70" ht="14.25" customHeight="1">
      <c r="A70" s="70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74" t="n"/>
      <c r="R70" s="74" t="n"/>
      <c r="S70" s="74" t="n"/>
      <c r="T70" s="67" t="n"/>
      <c r="U70" s="67" t="n"/>
      <c r="V70" s="67" t="n"/>
      <c r="W70" s="74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</row>
    <row r="71" ht="14.25" customHeight="1">
      <c r="A71" s="70" t="n"/>
      <c r="B71" s="67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74" t="n"/>
      <c r="R71" s="74" t="n"/>
      <c r="S71" s="74" t="n"/>
      <c r="T71" s="67" t="n"/>
      <c r="U71" s="67" t="n"/>
      <c r="V71" s="67" t="n"/>
      <c r="W71" s="74" t="n"/>
      <c r="X71" s="67" t="n"/>
      <c r="Y71" s="67" t="n"/>
      <c r="Z71" s="67" t="n"/>
      <c r="AA71" s="67" t="n"/>
      <c r="AB71" s="67" t="n"/>
      <c r="AC71" s="67" t="n"/>
      <c r="AD71" s="67" t="n"/>
      <c r="AE71" s="67" t="n"/>
      <c r="AF71" s="67" t="n"/>
      <c r="AG71" s="67" t="n"/>
      <c r="AH71" s="67" t="n"/>
    </row>
    <row r="72" ht="14.25" customHeight="1">
      <c r="A72" s="70" t="n"/>
      <c r="B72" s="67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74" t="n"/>
      <c r="R72" s="74" t="n"/>
      <c r="S72" s="74" t="n"/>
      <c r="T72" s="67" t="n"/>
      <c r="U72" s="67" t="n"/>
      <c r="V72" s="67" t="n"/>
      <c r="W72" s="74" t="n"/>
      <c r="X72" s="67" t="n"/>
      <c r="Y72" s="67" t="n"/>
      <c r="Z72" s="67" t="n"/>
      <c r="AA72" s="67" t="n"/>
      <c r="AB72" s="67" t="n"/>
      <c r="AC72" s="67" t="n"/>
      <c r="AD72" s="67" t="n"/>
      <c r="AE72" s="67" t="n"/>
      <c r="AF72" s="67" t="n"/>
      <c r="AG72" s="67" t="n"/>
      <c r="AH72" s="67" t="n"/>
    </row>
    <row r="73" ht="14.25" customHeight="1">
      <c r="A73" s="70" t="n"/>
      <c r="B73" s="67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74" t="n"/>
      <c r="R73" s="74" t="n"/>
      <c r="S73" s="74" t="n"/>
      <c r="T73" s="67" t="n"/>
      <c r="U73" s="67" t="n"/>
      <c r="V73" s="67" t="n"/>
      <c r="W73" s="74" t="n"/>
      <c r="X73" s="67" t="n"/>
      <c r="Y73" s="67" t="n"/>
      <c r="Z73" s="67" t="n"/>
      <c r="AA73" s="67" t="n"/>
      <c r="AB73" s="67" t="n"/>
      <c r="AC73" s="67" t="n"/>
      <c r="AD73" s="67" t="n"/>
      <c r="AE73" s="67" t="n"/>
      <c r="AF73" s="67" t="n"/>
      <c r="AG73" s="67" t="n"/>
      <c r="AH73" s="67" t="n"/>
    </row>
    <row r="74" ht="14.25" customHeight="1">
      <c r="A74" s="70" t="n"/>
      <c r="B74" s="67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74" t="n"/>
      <c r="R74" s="74" t="n"/>
      <c r="S74" s="74" t="n"/>
      <c r="T74" s="67" t="n"/>
      <c r="U74" s="67" t="n"/>
      <c r="V74" s="67" t="n"/>
      <c r="W74" s="74" t="n"/>
      <c r="X74" s="67" t="n"/>
      <c r="Y74" s="67" t="n"/>
      <c r="Z74" s="67" t="n"/>
      <c r="AA74" s="67" t="n"/>
      <c r="AB74" s="67" t="n"/>
      <c r="AC74" s="67" t="n"/>
      <c r="AD74" s="67" t="n"/>
      <c r="AE74" s="67" t="n"/>
      <c r="AF74" s="67" t="n"/>
      <c r="AG74" s="67" t="n"/>
      <c r="AH74" s="67" t="n"/>
    </row>
    <row r="75" ht="14.25" customHeight="1">
      <c r="A75" s="70" t="n"/>
      <c r="B75" s="67" t="n"/>
      <c r="C75" s="67" t="n"/>
      <c r="D75" s="67" t="n"/>
      <c r="E75" s="67" t="n"/>
      <c r="F75" s="67" t="n"/>
      <c r="G75" s="67" t="n"/>
      <c r="H75" s="67" t="n"/>
      <c r="I75" s="67" t="n"/>
      <c r="J75" s="67" t="n"/>
      <c r="K75" s="67" t="n"/>
      <c r="L75" s="67" t="n"/>
      <c r="M75" s="67" t="n"/>
      <c r="N75" s="67" t="n"/>
      <c r="O75" s="67" t="n"/>
      <c r="P75" s="67" t="n"/>
      <c r="Q75" s="74" t="n"/>
      <c r="R75" s="74" t="n"/>
      <c r="S75" s="74" t="n"/>
      <c r="T75" s="67" t="n"/>
      <c r="U75" s="67" t="n"/>
      <c r="V75" s="67" t="n"/>
      <c r="W75" s="74" t="n"/>
      <c r="X75" s="67" t="n"/>
      <c r="Y75" s="67" t="n"/>
      <c r="Z75" s="67" t="n"/>
      <c r="AA75" s="67" t="n"/>
      <c r="AB75" s="67" t="n"/>
      <c r="AC75" s="67" t="n"/>
      <c r="AD75" s="67" t="n"/>
      <c r="AE75" s="67" t="n"/>
      <c r="AF75" s="67" t="n"/>
      <c r="AG75" s="67" t="n"/>
      <c r="AH75" s="67" t="n"/>
    </row>
    <row r="76" ht="14.25" customHeight="1">
      <c r="A76" s="70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74" t="n"/>
      <c r="R76" s="74" t="n"/>
      <c r="S76" s="74" t="n"/>
      <c r="T76" s="67" t="n"/>
      <c r="U76" s="67" t="n"/>
      <c r="V76" s="67" t="n"/>
      <c r="W76" s="74" t="n"/>
      <c r="X76" s="67" t="n"/>
      <c r="Y76" s="67" t="n"/>
      <c r="Z76" s="67" t="n"/>
      <c r="AA76" s="67" t="n"/>
      <c r="AB76" s="67" t="n"/>
      <c r="AC76" s="67" t="n"/>
      <c r="AD76" s="67" t="n"/>
      <c r="AE76" s="67" t="n"/>
      <c r="AF76" s="67" t="n"/>
      <c r="AG76" s="67" t="n"/>
      <c r="AH76" s="67" t="n"/>
    </row>
    <row r="77" ht="14.25" customHeight="1">
      <c r="A77" s="70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74" t="n"/>
      <c r="R77" s="74" t="n"/>
      <c r="S77" s="74" t="n"/>
      <c r="T77" s="67" t="n"/>
      <c r="U77" s="67" t="n"/>
      <c r="V77" s="67" t="n"/>
      <c r="W77" s="74" t="n"/>
      <c r="X77" s="67" t="n"/>
      <c r="Y77" s="67" t="n"/>
      <c r="Z77" s="67" t="n"/>
      <c r="AA77" s="67" t="n"/>
      <c r="AB77" s="67" t="n"/>
      <c r="AC77" s="67" t="n"/>
      <c r="AD77" s="67" t="n"/>
      <c r="AE77" s="67" t="n"/>
      <c r="AF77" s="67" t="n"/>
      <c r="AG77" s="67" t="n"/>
      <c r="AH77" s="67" t="n"/>
    </row>
    <row r="78" ht="14.25" customHeight="1">
      <c r="A78" s="70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74" t="n"/>
      <c r="R78" s="74" t="n"/>
      <c r="S78" s="74" t="n"/>
      <c r="T78" s="67" t="n"/>
      <c r="U78" s="67" t="n"/>
      <c r="V78" s="67" t="n"/>
      <c r="W78" s="74" t="n"/>
      <c r="X78" s="67" t="n"/>
      <c r="Y78" s="67" t="n"/>
      <c r="Z78" s="67" t="n"/>
      <c r="AA78" s="67" t="n"/>
      <c r="AB78" s="67" t="n"/>
      <c r="AC78" s="67" t="n"/>
      <c r="AD78" s="67" t="n"/>
      <c r="AE78" s="67" t="n"/>
      <c r="AF78" s="67" t="n"/>
      <c r="AG78" s="67" t="n"/>
      <c r="AH78" s="67" t="n"/>
    </row>
    <row r="79" ht="14.25" customHeight="1">
      <c r="A79" s="70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74" t="n"/>
      <c r="R79" s="74" t="n"/>
      <c r="S79" s="74" t="n"/>
      <c r="T79" s="67" t="n"/>
      <c r="U79" s="67" t="n"/>
      <c r="V79" s="67" t="n"/>
      <c r="W79" s="74" t="n"/>
      <c r="X79" s="67" t="n"/>
      <c r="Y79" s="67" t="n"/>
      <c r="Z79" s="67" t="n"/>
      <c r="AA79" s="67" t="n"/>
      <c r="AB79" s="67" t="n"/>
      <c r="AC79" s="67" t="n"/>
      <c r="AD79" s="67" t="n"/>
      <c r="AE79" s="67" t="n"/>
      <c r="AF79" s="67" t="n"/>
      <c r="AG79" s="67" t="n"/>
      <c r="AH79" s="67" t="n"/>
    </row>
    <row r="80" ht="14.25" customHeight="1">
      <c r="A80" s="70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74" t="n"/>
      <c r="R80" s="74" t="n"/>
      <c r="S80" s="74" t="n"/>
      <c r="T80" s="67" t="n"/>
      <c r="U80" s="67" t="n"/>
      <c r="V80" s="67" t="n"/>
      <c r="W80" s="74" t="n"/>
      <c r="X80" s="67" t="n"/>
      <c r="Y80" s="67" t="n"/>
      <c r="Z80" s="67" t="n"/>
      <c r="AA80" s="67" t="n"/>
      <c r="AB80" s="67" t="n"/>
      <c r="AC80" s="67" t="n"/>
      <c r="AD80" s="67" t="n"/>
      <c r="AE80" s="67" t="n"/>
      <c r="AF80" s="67" t="n"/>
      <c r="AG80" s="67" t="n"/>
      <c r="AH80" s="67" t="n"/>
    </row>
    <row r="81" ht="14.25" customHeight="1">
      <c r="A81" s="70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74" t="n"/>
      <c r="R81" s="74" t="n"/>
      <c r="S81" s="74" t="n"/>
      <c r="T81" s="67" t="n"/>
      <c r="U81" s="67" t="n"/>
      <c r="V81" s="67" t="n"/>
      <c r="W81" s="74" t="n"/>
      <c r="X81" s="67" t="n"/>
      <c r="Y81" s="67" t="n"/>
      <c r="Z81" s="67" t="n"/>
      <c r="AA81" s="67" t="n"/>
      <c r="AB81" s="67" t="n"/>
      <c r="AC81" s="67" t="n"/>
      <c r="AD81" s="67" t="n"/>
      <c r="AE81" s="67" t="n"/>
      <c r="AF81" s="67" t="n"/>
      <c r="AG81" s="67" t="n"/>
      <c r="AH81" s="67" t="n"/>
    </row>
    <row r="82" ht="14.25" customHeight="1">
      <c r="A82" s="70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74" t="n"/>
      <c r="R82" s="74" t="n"/>
      <c r="S82" s="74" t="n"/>
      <c r="T82" s="67" t="n"/>
      <c r="U82" s="67" t="n"/>
      <c r="V82" s="67" t="n"/>
      <c r="W82" s="74" t="n"/>
      <c r="X82" s="67" t="n"/>
      <c r="Y82" s="67" t="n"/>
      <c r="Z82" s="67" t="n"/>
      <c r="AA82" s="67" t="n"/>
      <c r="AB82" s="67" t="n"/>
      <c r="AC82" s="67" t="n"/>
      <c r="AD82" s="67" t="n"/>
      <c r="AE82" s="67" t="n"/>
      <c r="AF82" s="67" t="n"/>
      <c r="AG82" s="67" t="n"/>
      <c r="AH82" s="67" t="n"/>
    </row>
    <row r="83" ht="14.25" customHeight="1">
      <c r="A83" s="70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74" t="n"/>
      <c r="R83" s="74" t="n"/>
      <c r="S83" s="74" t="n"/>
      <c r="T83" s="67" t="n"/>
      <c r="U83" s="67" t="n"/>
      <c r="V83" s="67" t="n"/>
      <c r="W83" s="74" t="n"/>
      <c r="X83" s="67" t="n"/>
      <c r="Y83" s="67" t="n"/>
      <c r="Z83" s="67" t="n"/>
      <c r="AA83" s="67" t="n"/>
      <c r="AB83" s="67" t="n"/>
      <c r="AC83" s="67" t="n"/>
      <c r="AD83" s="67" t="n"/>
      <c r="AE83" s="67" t="n"/>
      <c r="AF83" s="67" t="n"/>
      <c r="AG83" s="67" t="n"/>
      <c r="AH83" s="67" t="n"/>
    </row>
    <row r="84" ht="14.25" customHeight="1">
      <c r="A84" s="70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74" t="n"/>
      <c r="R84" s="74" t="n"/>
      <c r="S84" s="74" t="n"/>
      <c r="T84" s="67" t="n"/>
      <c r="U84" s="67" t="n"/>
      <c r="V84" s="67" t="n"/>
      <c r="W84" s="74" t="n"/>
      <c r="X84" s="67" t="n"/>
      <c r="Y84" s="67" t="n"/>
      <c r="Z84" s="67" t="n"/>
      <c r="AA84" s="67" t="n"/>
      <c r="AB84" s="67" t="n"/>
      <c r="AC84" s="67" t="n"/>
      <c r="AD84" s="67" t="n"/>
      <c r="AE84" s="67" t="n"/>
      <c r="AF84" s="67" t="n"/>
      <c r="AG84" s="67" t="n"/>
      <c r="AH84" s="67" t="n"/>
    </row>
    <row r="85" ht="14.25" customHeight="1">
      <c r="A85" s="70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74" t="n"/>
      <c r="R85" s="74" t="n"/>
      <c r="S85" s="74" t="n"/>
      <c r="T85" s="67" t="n"/>
      <c r="U85" s="67" t="n"/>
      <c r="V85" s="67" t="n"/>
      <c r="W85" s="74" t="n"/>
      <c r="X85" s="67" t="n"/>
      <c r="Y85" s="67" t="n"/>
      <c r="Z85" s="67" t="n"/>
      <c r="AA85" s="67" t="n"/>
      <c r="AB85" s="67" t="n"/>
      <c r="AC85" s="67" t="n"/>
      <c r="AD85" s="67" t="n"/>
      <c r="AE85" s="67" t="n"/>
      <c r="AF85" s="67" t="n"/>
      <c r="AG85" s="67" t="n"/>
      <c r="AH85" s="67" t="n"/>
    </row>
    <row r="86" ht="14.25" customHeight="1">
      <c r="A86" s="70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74" t="n"/>
      <c r="R86" s="74" t="n"/>
      <c r="S86" s="74" t="n"/>
      <c r="T86" s="67" t="n"/>
      <c r="U86" s="67" t="n"/>
      <c r="V86" s="67" t="n"/>
      <c r="W86" s="74" t="n"/>
      <c r="X86" s="67" t="n"/>
      <c r="Y86" s="67" t="n"/>
      <c r="Z86" s="67" t="n"/>
      <c r="AA86" s="67" t="n"/>
      <c r="AB86" s="67" t="n"/>
      <c r="AC86" s="67" t="n"/>
      <c r="AD86" s="67" t="n"/>
      <c r="AE86" s="67" t="n"/>
      <c r="AF86" s="67" t="n"/>
      <c r="AG86" s="67" t="n"/>
      <c r="AH86" s="67" t="n"/>
    </row>
    <row r="87" ht="14.25" customHeight="1">
      <c r="A87" s="70" t="n"/>
      <c r="B87" s="67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74" t="n"/>
      <c r="R87" s="74" t="n"/>
      <c r="S87" s="74" t="n"/>
      <c r="T87" s="67" t="n"/>
      <c r="U87" s="67" t="n"/>
      <c r="V87" s="67" t="n"/>
      <c r="W87" s="74" t="n"/>
      <c r="X87" s="67" t="n"/>
      <c r="Y87" s="67" t="n"/>
      <c r="Z87" s="67" t="n"/>
      <c r="AA87" s="67" t="n"/>
      <c r="AB87" s="67" t="n"/>
      <c r="AC87" s="67" t="n"/>
      <c r="AD87" s="67" t="n"/>
      <c r="AE87" s="67" t="n"/>
      <c r="AF87" s="67" t="n"/>
      <c r="AG87" s="67" t="n"/>
      <c r="AH87" s="67" t="n"/>
    </row>
    <row r="88" ht="14.25" customHeight="1">
      <c r="A88" s="70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74" t="n"/>
      <c r="R88" s="74" t="n"/>
      <c r="S88" s="74" t="n"/>
      <c r="T88" s="67" t="n"/>
      <c r="U88" s="67" t="n"/>
      <c r="V88" s="67" t="n"/>
      <c r="W88" s="74" t="n"/>
      <c r="X88" s="67" t="n"/>
      <c r="Y88" s="67" t="n"/>
      <c r="Z88" s="67" t="n"/>
      <c r="AA88" s="67" t="n"/>
      <c r="AB88" s="67" t="n"/>
      <c r="AC88" s="67" t="n"/>
      <c r="AD88" s="67" t="n"/>
      <c r="AE88" s="67" t="n"/>
      <c r="AF88" s="67" t="n"/>
      <c r="AG88" s="67" t="n"/>
      <c r="AH88" s="67" t="n"/>
    </row>
    <row r="89" ht="14.25" customHeight="1">
      <c r="A89" s="70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74" t="n"/>
      <c r="R89" s="74" t="n"/>
      <c r="S89" s="74" t="n"/>
      <c r="T89" s="67" t="n"/>
      <c r="U89" s="67" t="n"/>
      <c r="V89" s="67" t="n"/>
      <c r="W89" s="74" t="n"/>
      <c r="X89" s="67" t="n"/>
      <c r="Y89" s="67" t="n"/>
      <c r="Z89" s="67" t="n"/>
      <c r="AA89" s="67" t="n"/>
      <c r="AB89" s="67" t="n"/>
      <c r="AC89" s="67" t="n"/>
      <c r="AD89" s="67" t="n"/>
      <c r="AE89" s="67" t="n"/>
      <c r="AF89" s="67" t="n"/>
      <c r="AG89" s="67" t="n"/>
      <c r="AH89" s="67" t="n"/>
    </row>
    <row r="90" ht="14.25" customHeight="1">
      <c r="A90" s="70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74" t="n"/>
      <c r="R90" s="74" t="n"/>
      <c r="S90" s="74" t="n"/>
      <c r="T90" s="67" t="n"/>
      <c r="U90" s="67" t="n"/>
      <c r="V90" s="67" t="n"/>
      <c r="W90" s="74" t="n"/>
      <c r="X90" s="67" t="n"/>
      <c r="Y90" s="67" t="n"/>
      <c r="Z90" s="67" t="n"/>
      <c r="AA90" s="67" t="n"/>
      <c r="AB90" s="67" t="n"/>
      <c r="AC90" s="67" t="n"/>
      <c r="AD90" s="67" t="n"/>
      <c r="AE90" s="67" t="n"/>
      <c r="AF90" s="67" t="n"/>
      <c r="AG90" s="67" t="n"/>
      <c r="AH90" s="67" t="n"/>
    </row>
    <row r="91" ht="14.25" customHeight="1">
      <c r="A91" s="70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74" t="n"/>
      <c r="R91" s="74" t="n"/>
      <c r="S91" s="74" t="n"/>
      <c r="T91" s="67" t="n"/>
      <c r="U91" s="67" t="n"/>
      <c r="V91" s="67" t="n"/>
      <c r="W91" s="74" t="n"/>
      <c r="X91" s="67" t="n"/>
      <c r="Y91" s="67" t="n"/>
      <c r="Z91" s="67" t="n"/>
      <c r="AA91" s="67" t="n"/>
      <c r="AB91" s="67" t="n"/>
      <c r="AC91" s="67" t="n"/>
      <c r="AD91" s="67" t="n"/>
      <c r="AE91" s="67" t="n"/>
      <c r="AF91" s="67" t="n"/>
      <c r="AG91" s="67" t="n"/>
      <c r="AH91" s="67" t="n"/>
    </row>
    <row r="92" ht="14.25" customHeight="1">
      <c r="A92" s="70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74" t="n"/>
      <c r="R92" s="74" t="n"/>
      <c r="S92" s="74" t="n"/>
      <c r="T92" s="67" t="n"/>
      <c r="U92" s="67" t="n"/>
      <c r="V92" s="67" t="n"/>
      <c r="W92" s="74" t="n"/>
      <c r="X92" s="67" t="n"/>
      <c r="Y92" s="67" t="n"/>
      <c r="Z92" s="67" t="n"/>
      <c r="AA92" s="67" t="n"/>
      <c r="AB92" s="67" t="n"/>
      <c r="AC92" s="67" t="n"/>
      <c r="AD92" s="67" t="n"/>
      <c r="AE92" s="67" t="n"/>
      <c r="AF92" s="67" t="n"/>
      <c r="AG92" s="67" t="n"/>
      <c r="AH92" s="67" t="n"/>
    </row>
    <row r="93" ht="14.25" customHeight="1">
      <c r="A93" s="70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74" t="n"/>
      <c r="R93" s="74" t="n"/>
      <c r="S93" s="74" t="n"/>
      <c r="T93" s="67" t="n"/>
      <c r="U93" s="67" t="n"/>
      <c r="V93" s="67" t="n"/>
      <c r="W93" s="74" t="n"/>
      <c r="X93" s="67" t="n"/>
      <c r="Y93" s="67" t="n"/>
      <c r="Z93" s="67" t="n"/>
      <c r="AA93" s="67" t="n"/>
      <c r="AB93" s="67" t="n"/>
      <c r="AC93" s="67" t="n"/>
      <c r="AD93" s="67" t="n"/>
      <c r="AE93" s="67" t="n"/>
      <c r="AF93" s="67" t="n"/>
      <c r="AG93" s="67" t="n"/>
      <c r="AH93" s="67" t="n"/>
    </row>
    <row r="94" ht="14.25" customHeight="1">
      <c r="A94" s="70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74" t="n"/>
      <c r="R94" s="74" t="n"/>
      <c r="S94" s="74" t="n"/>
      <c r="T94" s="67" t="n"/>
      <c r="U94" s="67" t="n"/>
      <c r="V94" s="67" t="n"/>
      <c r="W94" s="74" t="n"/>
      <c r="X94" s="67" t="n"/>
      <c r="Y94" s="67" t="n"/>
      <c r="Z94" s="67" t="n"/>
      <c r="AA94" s="67" t="n"/>
      <c r="AB94" s="67" t="n"/>
      <c r="AC94" s="67" t="n"/>
      <c r="AD94" s="67" t="n"/>
      <c r="AE94" s="67" t="n"/>
      <c r="AF94" s="67" t="n"/>
      <c r="AG94" s="67" t="n"/>
      <c r="AH94" s="67" t="n"/>
    </row>
    <row r="95" ht="14.25" customHeight="1">
      <c r="A95" s="70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74" t="n"/>
      <c r="R95" s="74" t="n"/>
      <c r="S95" s="74" t="n"/>
      <c r="T95" s="67" t="n"/>
      <c r="U95" s="67" t="n"/>
      <c r="V95" s="67" t="n"/>
      <c r="W95" s="74" t="n"/>
      <c r="X95" s="67" t="n"/>
      <c r="Y95" s="67" t="n"/>
      <c r="Z95" s="67" t="n"/>
      <c r="AA95" s="67" t="n"/>
      <c r="AB95" s="67" t="n"/>
      <c r="AC95" s="67" t="n"/>
      <c r="AD95" s="67" t="n"/>
      <c r="AE95" s="67" t="n"/>
      <c r="AF95" s="67" t="n"/>
      <c r="AG95" s="67" t="n"/>
      <c r="AH95" s="67" t="n"/>
    </row>
    <row r="96" ht="14.25" customHeight="1">
      <c r="A96" s="70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74" t="n"/>
      <c r="R96" s="74" t="n"/>
      <c r="S96" s="74" t="n"/>
      <c r="T96" s="67" t="n"/>
      <c r="U96" s="67" t="n"/>
      <c r="V96" s="67" t="n"/>
      <c r="W96" s="74" t="n"/>
      <c r="X96" s="67" t="n"/>
      <c r="Y96" s="67" t="n"/>
      <c r="Z96" s="67" t="n"/>
      <c r="AA96" s="67" t="n"/>
      <c r="AB96" s="67" t="n"/>
      <c r="AC96" s="67" t="n"/>
      <c r="AD96" s="67" t="n"/>
      <c r="AE96" s="67" t="n"/>
      <c r="AF96" s="67" t="n"/>
      <c r="AG96" s="67" t="n"/>
      <c r="AH96" s="67" t="n"/>
    </row>
    <row r="97" ht="14.25" customHeight="1">
      <c r="A97" s="70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74" t="n"/>
      <c r="R97" s="74" t="n"/>
      <c r="S97" s="74" t="n"/>
      <c r="T97" s="67" t="n"/>
      <c r="U97" s="67" t="n"/>
      <c r="V97" s="67" t="n"/>
      <c r="W97" s="74" t="n"/>
      <c r="X97" s="67" t="n"/>
      <c r="Y97" s="67" t="n"/>
      <c r="Z97" s="67" t="n"/>
      <c r="AA97" s="67" t="n"/>
      <c r="AB97" s="67" t="n"/>
      <c r="AC97" s="67" t="n"/>
      <c r="AD97" s="67" t="n"/>
      <c r="AE97" s="67" t="n"/>
      <c r="AF97" s="67" t="n"/>
      <c r="AG97" s="67" t="n"/>
      <c r="AH97" s="67" t="n"/>
    </row>
    <row r="98" ht="14.25" customHeight="1">
      <c r="A98" s="70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74" t="n"/>
      <c r="R98" s="74" t="n"/>
      <c r="S98" s="74" t="n"/>
      <c r="T98" s="67" t="n"/>
      <c r="U98" s="67" t="n"/>
      <c r="V98" s="67" t="n"/>
      <c r="W98" s="74" t="n"/>
      <c r="X98" s="67" t="n"/>
      <c r="Y98" s="67" t="n"/>
      <c r="Z98" s="67" t="n"/>
      <c r="AA98" s="67" t="n"/>
      <c r="AB98" s="67" t="n"/>
      <c r="AC98" s="67" t="n"/>
      <c r="AD98" s="67" t="n"/>
      <c r="AE98" s="67" t="n"/>
      <c r="AF98" s="67" t="n"/>
      <c r="AG98" s="67" t="n"/>
      <c r="AH98" s="67" t="n"/>
    </row>
    <row r="99" ht="14.25" customHeight="1">
      <c r="A99" s="70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74" t="n"/>
      <c r="R99" s="74" t="n"/>
      <c r="S99" s="74" t="n"/>
      <c r="T99" s="67" t="n"/>
      <c r="U99" s="67" t="n"/>
      <c r="V99" s="67" t="n"/>
      <c r="W99" s="74" t="n"/>
      <c r="X99" s="67" t="n"/>
      <c r="Y99" s="67" t="n"/>
      <c r="Z99" s="67" t="n"/>
      <c r="AA99" s="67" t="n"/>
      <c r="AB99" s="67" t="n"/>
      <c r="AC99" s="67" t="n"/>
      <c r="AD99" s="67" t="n"/>
      <c r="AE99" s="67" t="n"/>
      <c r="AF99" s="67" t="n"/>
      <c r="AG99" s="67" t="n"/>
      <c r="AH99" s="67" t="n"/>
    </row>
    <row r="100" ht="14.25" customHeight="1">
      <c r="A100" s="70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74" t="n"/>
      <c r="R100" s="74" t="n"/>
      <c r="S100" s="74" t="n"/>
      <c r="T100" s="67" t="n"/>
      <c r="U100" s="67" t="n"/>
      <c r="V100" s="67" t="n"/>
      <c r="W100" s="74" t="n"/>
      <c r="X100" s="67" t="n"/>
      <c r="Y100" s="67" t="n"/>
      <c r="Z100" s="67" t="n"/>
      <c r="AA100" s="67" t="n"/>
      <c r="AB100" s="67" t="n"/>
      <c r="AC100" s="67" t="n"/>
      <c r="AD100" s="67" t="n"/>
      <c r="AE100" s="67" t="n"/>
      <c r="AF100" s="67" t="n"/>
      <c r="AG100" s="67" t="n"/>
      <c r="AH100" s="67" t="n"/>
    </row>
    <row r="101" ht="14.25" customHeight="1">
      <c r="A101" s="70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74" t="n"/>
      <c r="R101" s="74" t="n"/>
      <c r="S101" s="74" t="n"/>
      <c r="T101" s="67" t="n"/>
      <c r="U101" s="67" t="n"/>
      <c r="V101" s="67" t="n"/>
      <c r="W101" s="74" t="n"/>
      <c r="X101" s="67" t="n"/>
      <c r="Y101" s="67" t="n"/>
      <c r="Z101" s="67" t="n"/>
      <c r="AA101" s="67" t="n"/>
      <c r="AB101" s="67" t="n"/>
      <c r="AC101" s="67" t="n"/>
      <c r="AD101" s="67" t="n"/>
      <c r="AE101" s="67" t="n"/>
      <c r="AF101" s="67" t="n"/>
      <c r="AG101" s="67" t="n"/>
      <c r="AH101" s="67" t="n"/>
    </row>
    <row r="102" ht="14.25" customHeight="1">
      <c r="A102" s="70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74" t="n"/>
      <c r="R102" s="74" t="n"/>
      <c r="S102" s="74" t="n"/>
      <c r="T102" s="67" t="n"/>
      <c r="U102" s="67" t="n"/>
      <c r="V102" s="67" t="n"/>
      <c r="W102" s="74" t="n"/>
      <c r="X102" s="67" t="n"/>
      <c r="Y102" s="67" t="n"/>
      <c r="Z102" s="67" t="n"/>
      <c r="AA102" s="67" t="n"/>
      <c r="AB102" s="67" t="n"/>
      <c r="AC102" s="67" t="n"/>
      <c r="AD102" s="67" t="n"/>
      <c r="AE102" s="67" t="n"/>
      <c r="AF102" s="67" t="n"/>
      <c r="AG102" s="67" t="n"/>
      <c r="AH102" s="67" t="n"/>
    </row>
    <row r="103" ht="14.25" customHeight="1">
      <c r="A103" s="70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74" t="n"/>
      <c r="R103" s="74" t="n"/>
      <c r="S103" s="74" t="n"/>
      <c r="T103" s="67" t="n"/>
      <c r="U103" s="67" t="n"/>
      <c r="V103" s="67" t="n"/>
      <c r="W103" s="74" t="n"/>
      <c r="X103" s="67" t="n"/>
      <c r="Y103" s="67" t="n"/>
      <c r="Z103" s="67" t="n"/>
      <c r="AA103" s="67" t="n"/>
      <c r="AB103" s="67" t="n"/>
      <c r="AC103" s="67" t="n"/>
      <c r="AD103" s="67" t="n"/>
      <c r="AE103" s="67" t="n"/>
      <c r="AF103" s="67" t="n"/>
      <c r="AG103" s="67" t="n"/>
      <c r="AH103" s="67" t="n"/>
    </row>
    <row r="104" ht="14.25" customHeight="1">
      <c r="A104" s="70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74" t="n"/>
      <c r="R104" s="74" t="n"/>
      <c r="S104" s="74" t="n"/>
      <c r="T104" s="67" t="n"/>
      <c r="U104" s="67" t="n"/>
      <c r="V104" s="67" t="n"/>
      <c r="W104" s="74" t="n"/>
      <c r="X104" s="67" t="n"/>
      <c r="Y104" s="67" t="n"/>
      <c r="Z104" s="67" t="n"/>
      <c r="AA104" s="67" t="n"/>
      <c r="AB104" s="67" t="n"/>
      <c r="AC104" s="67" t="n"/>
      <c r="AD104" s="67" t="n"/>
      <c r="AE104" s="67" t="n"/>
      <c r="AF104" s="67" t="n"/>
      <c r="AG104" s="67" t="n"/>
      <c r="AH104" s="67" t="n"/>
    </row>
    <row r="105" ht="14.25" customHeight="1">
      <c r="A105" s="70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74" t="n"/>
      <c r="R105" s="74" t="n"/>
      <c r="S105" s="74" t="n"/>
      <c r="T105" s="67" t="n"/>
      <c r="U105" s="67" t="n"/>
      <c r="V105" s="67" t="n"/>
      <c r="W105" s="74" t="n"/>
      <c r="X105" s="67" t="n"/>
      <c r="Y105" s="67" t="n"/>
      <c r="Z105" s="67" t="n"/>
      <c r="AA105" s="67" t="n"/>
      <c r="AB105" s="67" t="n"/>
      <c r="AC105" s="67" t="n"/>
      <c r="AD105" s="67" t="n"/>
      <c r="AE105" s="67" t="n"/>
      <c r="AF105" s="67" t="n"/>
      <c r="AG105" s="67" t="n"/>
      <c r="AH105" s="67" t="n"/>
    </row>
    <row r="106" ht="14.25" customHeight="1">
      <c r="A106" s="70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74" t="n"/>
      <c r="R106" s="74" t="n"/>
      <c r="S106" s="74" t="n"/>
      <c r="T106" s="67" t="n"/>
      <c r="U106" s="67" t="n"/>
      <c r="V106" s="67" t="n"/>
      <c r="W106" s="74" t="n"/>
      <c r="X106" s="67" t="n"/>
      <c r="Y106" s="67" t="n"/>
      <c r="Z106" s="67" t="n"/>
      <c r="AA106" s="67" t="n"/>
      <c r="AB106" s="67" t="n"/>
      <c r="AC106" s="67" t="n"/>
      <c r="AD106" s="67" t="n"/>
      <c r="AE106" s="67" t="n"/>
      <c r="AF106" s="67" t="n"/>
      <c r="AG106" s="67" t="n"/>
      <c r="AH106" s="67" t="n"/>
    </row>
    <row r="107" ht="14.25" customHeight="1">
      <c r="A107" s="70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74" t="n"/>
      <c r="R107" s="74" t="n"/>
      <c r="S107" s="74" t="n"/>
      <c r="T107" s="67" t="n"/>
      <c r="U107" s="67" t="n"/>
      <c r="V107" s="67" t="n"/>
      <c r="W107" s="74" t="n"/>
      <c r="X107" s="67" t="n"/>
      <c r="Y107" s="67" t="n"/>
      <c r="Z107" s="67" t="n"/>
      <c r="AA107" s="67" t="n"/>
      <c r="AB107" s="67" t="n"/>
      <c r="AC107" s="67" t="n"/>
      <c r="AD107" s="67" t="n"/>
      <c r="AE107" s="67" t="n"/>
      <c r="AF107" s="67" t="n"/>
      <c r="AG107" s="67" t="n"/>
      <c r="AH107" s="67" t="n"/>
    </row>
    <row r="108" ht="14.25" customHeight="1">
      <c r="A108" s="70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74" t="n"/>
      <c r="R108" s="74" t="n"/>
      <c r="S108" s="74" t="n"/>
      <c r="T108" s="67" t="n"/>
      <c r="U108" s="67" t="n"/>
      <c r="V108" s="67" t="n"/>
      <c r="W108" s="74" t="n"/>
      <c r="X108" s="67" t="n"/>
      <c r="Y108" s="67" t="n"/>
      <c r="Z108" s="67" t="n"/>
      <c r="AA108" s="67" t="n"/>
      <c r="AB108" s="67" t="n"/>
      <c r="AC108" s="67" t="n"/>
      <c r="AD108" s="67" t="n"/>
      <c r="AE108" s="67" t="n"/>
      <c r="AF108" s="67" t="n"/>
      <c r="AG108" s="67" t="n"/>
      <c r="AH108" s="67" t="n"/>
    </row>
    <row r="109" ht="14.25" customHeight="1">
      <c r="A109" s="70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74" t="n"/>
      <c r="R109" s="74" t="n"/>
      <c r="S109" s="74" t="n"/>
      <c r="T109" s="67" t="n"/>
      <c r="U109" s="67" t="n"/>
      <c r="V109" s="67" t="n"/>
      <c r="W109" s="74" t="n"/>
      <c r="X109" s="67" t="n"/>
      <c r="Y109" s="67" t="n"/>
      <c r="Z109" s="67" t="n"/>
      <c r="AA109" s="67" t="n"/>
      <c r="AB109" s="67" t="n"/>
      <c r="AC109" s="67" t="n"/>
      <c r="AD109" s="67" t="n"/>
      <c r="AE109" s="67" t="n"/>
      <c r="AF109" s="67" t="n"/>
      <c r="AG109" s="67" t="n"/>
      <c r="AH109" s="67" t="n"/>
    </row>
    <row r="110" ht="14.25" customHeight="1">
      <c r="A110" s="70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74" t="n"/>
      <c r="R110" s="74" t="n"/>
      <c r="S110" s="74" t="n"/>
      <c r="T110" s="67" t="n"/>
      <c r="U110" s="67" t="n"/>
      <c r="V110" s="67" t="n"/>
      <c r="W110" s="74" t="n"/>
      <c r="X110" s="67" t="n"/>
      <c r="Y110" s="67" t="n"/>
      <c r="Z110" s="67" t="n"/>
      <c r="AA110" s="67" t="n"/>
      <c r="AB110" s="67" t="n"/>
      <c r="AC110" s="67" t="n"/>
      <c r="AD110" s="67" t="n"/>
      <c r="AE110" s="67" t="n"/>
      <c r="AF110" s="67" t="n"/>
      <c r="AG110" s="67" t="n"/>
      <c r="AH110" s="67" t="n"/>
    </row>
    <row r="111" ht="14.25" customHeight="1">
      <c r="A111" s="70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74" t="n"/>
      <c r="R111" s="74" t="n"/>
      <c r="S111" s="74" t="n"/>
      <c r="T111" s="67" t="n"/>
      <c r="U111" s="67" t="n"/>
      <c r="V111" s="67" t="n"/>
      <c r="W111" s="74" t="n"/>
      <c r="X111" s="67" t="n"/>
      <c r="Y111" s="67" t="n"/>
      <c r="Z111" s="67" t="n"/>
      <c r="AA111" s="67" t="n"/>
      <c r="AB111" s="67" t="n"/>
      <c r="AC111" s="67" t="n"/>
      <c r="AD111" s="67" t="n"/>
      <c r="AE111" s="67" t="n"/>
      <c r="AF111" s="67" t="n"/>
      <c r="AG111" s="67" t="n"/>
      <c r="AH111" s="67" t="n"/>
    </row>
    <row r="112" ht="14.25" customHeight="1">
      <c r="A112" s="70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74" t="n"/>
      <c r="R112" s="74" t="n"/>
      <c r="S112" s="74" t="n"/>
      <c r="T112" s="67" t="n"/>
      <c r="U112" s="67" t="n"/>
      <c r="V112" s="67" t="n"/>
      <c r="W112" s="74" t="n"/>
      <c r="X112" s="67" t="n"/>
      <c r="Y112" s="67" t="n"/>
      <c r="Z112" s="67" t="n"/>
      <c r="AA112" s="67" t="n"/>
      <c r="AB112" s="67" t="n"/>
      <c r="AC112" s="67" t="n"/>
      <c r="AD112" s="67" t="n"/>
      <c r="AE112" s="67" t="n"/>
      <c r="AF112" s="67" t="n"/>
      <c r="AG112" s="67" t="n"/>
      <c r="AH112" s="67" t="n"/>
    </row>
    <row r="113" ht="14.25" customHeight="1">
      <c r="A113" s="70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74" t="n"/>
      <c r="R113" s="74" t="n"/>
      <c r="S113" s="74" t="n"/>
      <c r="T113" s="67" t="n"/>
      <c r="U113" s="67" t="n"/>
      <c r="V113" s="67" t="n"/>
      <c r="W113" s="74" t="n"/>
      <c r="X113" s="67" t="n"/>
      <c r="Y113" s="67" t="n"/>
      <c r="Z113" s="67" t="n"/>
      <c r="AA113" s="67" t="n"/>
      <c r="AB113" s="67" t="n"/>
      <c r="AC113" s="67" t="n"/>
      <c r="AD113" s="67" t="n"/>
      <c r="AE113" s="67" t="n"/>
      <c r="AF113" s="67" t="n"/>
      <c r="AG113" s="67" t="n"/>
      <c r="AH113" s="67" t="n"/>
    </row>
    <row r="114" ht="14.25" customHeight="1">
      <c r="A114" s="70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74" t="n"/>
      <c r="R114" s="74" t="n"/>
      <c r="S114" s="74" t="n"/>
      <c r="T114" s="67" t="n"/>
      <c r="U114" s="67" t="n"/>
      <c r="V114" s="67" t="n"/>
      <c r="W114" s="74" t="n"/>
      <c r="X114" s="67" t="n"/>
      <c r="Y114" s="67" t="n"/>
      <c r="Z114" s="67" t="n"/>
      <c r="AA114" s="67" t="n"/>
      <c r="AB114" s="67" t="n"/>
      <c r="AC114" s="67" t="n"/>
      <c r="AD114" s="67" t="n"/>
      <c r="AE114" s="67" t="n"/>
      <c r="AF114" s="67" t="n"/>
      <c r="AG114" s="67" t="n"/>
      <c r="AH114" s="67" t="n"/>
    </row>
    <row r="115" ht="14.25" customHeight="1">
      <c r="A115" s="70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74" t="n"/>
      <c r="R115" s="74" t="n"/>
      <c r="S115" s="74" t="n"/>
      <c r="T115" s="67" t="n"/>
      <c r="U115" s="67" t="n"/>
      <c r="V115" s="67" t="n"/>
      <c r="W115" s="74" t="n"/>
      <c r="X115" s="67" t="n"/>
      <c r="Y115" s="67" t="n"/>
      <c r="Z115" s="67" t="n"/>
      <c r="AA115" s="67" t="n"/>
      <c r="AB115" s="67" t="n"/>
      <c r="AC115" s="67" t="n"/>
      <c r="AD115" s="67" t="n"/>
      <c r="AE115" s="67" t="n"/>
      <c r="AF115" s="67" t="n"/>
      <c r="AG115" s="67" t="n"/>
      <c r="AH115" s="67" t="n"/>
    </row>
    <row r="116" ht="14.25" customHeight="1">
      <c r="A116" s="70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74" t="n"/>
      <c r="R116" s="74" t="n"/>
      <c r="S116" s="74" t="n"/>
      <c r="T116" s="67" t="n"/>
      <c r="U116" s="67" t="n"/>
      <c r="V116" s="67" t="n"/>
      <c r="W116" s="74" t="n"/>
      <c r="X116" s="67" t="n"/>
      <c r="Y116" s="67" t="n"/>
      <c r="Z116" s="67" t="n"/>
      <c r="AA116" s="67" t="n"/>
      <c r="AB116" s="67" t="n"/>
      <c r="AC116" s="67" t="n"/>
      <c r="AD116" s="67" t="n"/>
      <c r="AE116" s="67" t="n"/>
      <c r="AF116" s="67" t="n"/>
      <c r="AG116" s="67" t="n"/>
      <c r="AH116" s="67" t="n"/>
    </row>
    <row r="117" ht="14.25" customHeight="1">
      <c r="A117" s="70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74" t="n"/>
      <c r="R117" s="74" t="n"/>
      <c r="S117" s="74" t="n"/>
      <c r="T117" s="67" t="n"/>
      <c r="U117" s="67" t="n"/>
      <c r="V117" s="67" t="n"/>
      <c r="W117" s="74" t="n"/>
      <c r="X117" s="67" t="n"/>
      <c r="Y117" s="67" t="n"/>
      <c r="Z117" s="67" t="n"/>
      <c r="AA117" s="67" t="n"/>
      <c r="AB117" s="67" t="n"/>
      <c r="AC117" s="67" t="n"/>
      <c r="AD117" s="67" t="n"/>
      <c r="AE117" s="67" t="n"/>
      <c r="AF117" s="67" t="n"/>
      <c r="AG117" s="67" t="n"/>
      <c r="AH117" s="67" t="n"/>
    </row>
    <row r="118" ht="14.25" customHeight="1">
      <c r="A118" s="70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74" t="n"/>
      <c r="R118" s="74" t="n"/>
      <c r="S118" s="74" t="n"/>
      <c r="T118" s="67" t="n"/>
      <c r="U118" s="67" t="n"/>
      <c r="V118" s="67" t="n"/>
      <c r="W118" s="74" t="n"/>
      <c r="X118" s="67" t="n"/>
      <c r="Y118" s="67" t="n"/>
      <c r="Z118" s="67" t="n"/>
      <c r="AA118" s="67" t="n"/>
      <c r="AB118" s="67" t="n"/>
      <c r="AC118" s="67" t="n"/>
      <c r="AD118" s="67" t="n"/>
      <c r="AE118" s="67" t="n"/>
      <c r="AF118" s="67" t="n"/>
      <c r="AG118" s="67" t="n"/>
      <c r="AH118" s="67" t="n"/>
    </row>
    <row r="119" ht="14.25" customHeight="1">
      <c r="A119" s="70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74" t="n"/>
      <c r="R119" s="74" t="n"/>
      <c r="S119" s="74" t="n"/>
      <c r="T119" s="67" t="n"/>
      <c r="U119" s="67" t="n"/>
      <c r="V119" s="67" t="n"/>
      <c r="W119" s="74" t="n"/>
      <c r="X119" s="67" t="n"/>
      <c r="Y119" s="67" t="n"/>
      <c r="Z119" s="67" t="n"/>
      <c r="AA119" s="67" t="n"/>
      <c r="AB119" s="67" t="n"/>
      <c r="AC119" s="67" t="n"/>
      <c r="AD119" s="67" t="n"/>
      <c r="AE119" s="67" t="n"/>
      <c r="AF119" s="67" t="n"/>
      <c r="AG119" s="67" t="n"/>
      <c r="AH119" s="67" t="n"/>
    </row>
    <row r="120" ht="14.25" customHeight="1">
      <c r="A120" s="70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74" t="n"/>
      <c r="R120" s="74" t="n"/>
      <c r="S120" s="74" t="n"/>
      <c r="T120" s="67" t="n"/>
      <c r="U120" s="67" t="n"/>
      <c r="V120" s="67" t="n"/>
      <c r="W120" s="74" t="n"/>
      <c r="X120" s="67" t="n"/>
      <c r="Y120" s="67" t="n"/>
      <c r="Z120" s="67" t="n"/>
      <c r="AA120" s="67" t="n"/>
      <c r="AB120" s="67" t="n"/>
      <c r="AC120" s="67" t="n"/>
      <c r="AD120" s="67" t="n"/>
      <c r="AE120" s="67" t="n"/>
      <c r="AF120" s="67" t="n"/>
      <c r="AG120" s="67" t="n"/>
      <c r="AH120" s="67" t="n"/>
    </row>
    <row r="121" ht="14.25" customHeight="1">
      <c r="A121" s="70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74" t="n"/>
      <c r="R121" s="74" t="n"/>
      <c r="S121" s="74" t="n"/>
      <c r="T121" s="67" t="n"/>
      <c r="U121" s="67" t="n"/>
      <c r="V121" s="67" t="n"/>
      <c r="W121" s="74" t="n"/>
      <c r="X121" s="67" t="n"/>
      <c r="Y121" s="67" t="n"/>
      <c r="Z121" s="67" t="n"/>
      <c r="AA121" s="67" t="n"/>
      <c r="AB121" s="67" t="n"/>
      <c r="AC121" s="67" t="n"/>
      <c r="AD121" s="67" t="n"/>
      <c r="AE121" s="67" t="n"/>
      <c r="AF121" s="67" t="n"/>
      <c r="AG121" s="67" t="n"/>
      <c r="AH121" s="67" t="n"/>
    </row>
    <row r="122" ht="14.25" customHeight="1">
      <c r="A122" s="70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74" t="n"/>
      <c r="R122" s="74" t="n"/>
      <c r="S122" s="74" t="n"/>
      <c r="T122" s="67" t="n"/>
      <c r="U122" s="67" t="n"/>
      <c r="V122" s="67" t="n"/>
      <c r="W122" s="74" t="n"/>
      <c r="X122" s="67" t="n"/>
      <c r="Y122" s="67" t="n"/>
      <c r="Z122" s="67" t="n"/>
      <c r="AA122" s="67" t="n"/>
      <c r="AB122" s="67" t="n"/>
      <c r="AC122" s="67" t="n"/>
      <c r="AD122" s="67" t="n"/>
      <c r="AE122" s="67" t="n"/>
      <c r="AF122" s="67" t="n"/>
      <c r="AG122" s="67" t="n"/>
      <c r="AH122" s="67" t="n"/>
    </row>
    <row r="123" ht="14.25" customHeight="1">
      <c r="A123" s="70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74" t="n"/>
      <c r="R123" s="74" t="n"/>
      <c r="S123" s="74" t="n"/>
      <c r="T123" s="67" t="n"/>
      <c r="U123" s="67" t="n"/>
      <c r="V123" s="67" t="n"/>
      <c r="W123" s="74" t="n"/>
      <c r="X123" s="67" t="n"/>
      <c r="Y123" s="67" t="n"/>
      <c r="Z123" s="67" t="n"/>
      <c r="AA123" s="67" t="n"/>
      <c r="AB123" s="67" t="n"/>
      <c r="AC123" s="67" t="n"/>
      <c r="AD123" s="67" t="n"/>
      <c r="AE123" s="67" t="n"/>
      <c r="AF123" s="67" t="n"/>
      <c r="AG123" s="67" t="n"/>
      <c r="AH123" s="67" t="n"/>
    </row>
    <row r="124" ht="14.25" customHeight="1">
      <c r="A124" s="70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74" t="n"/>
      <c r="R124" s="74" t="n"/>
      <c r="S124" s="74" t="n"/>
      <c r="T124" s="67" t="n"/>
      <c r="U124" s="67" t="n"/>
      <c r="V124" s="67" t="n"/>
      <c r="W124" s="74" t="n"/>
      <c r="X124" s="67" t="n"/>
      <c r="Y124" s="67" t="n"/>
      <c r="Z124" s="67" t="n"/>
      <c r="AA124" s="67" t="n"/>
      <c r="AB124" s="67" t="n"/>
      <c r="AC124" s="67" t="n"/>
      <c r="AD124" s="67" t="n"/>
      <c r="AE124" s="67" t="n"/>
      <c r="AF124" s="67" t="n"/>
      <c r="AG124" s="67" t="n"/>
      <c r="AH124" s="67" t="n"/>
    </row>
    <row r="125" ht="14.25" customHeight="1">
      <c r="A125" s="70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74" t="n"/>
      <c r="R125" s="74" t="n"/>
      <c r="S125" s="74" t="n"/>
      <c r="T125" s="67" t="n"/>
      <c r="U125" s="67" t="n"/>
      <c r="V125" s="67" t="n"/>
      <c r="W125" s="74" t="n"/>
      <c r="X125" s="67" t="n"/>
      <c r="Y125" s="67" t="n"/>
      <c r="Z125" s="67" t="n"/>
      <c r="AA125" s="67" t="n"/>
      <c r="AB125" s="67" t="n"/>
      <c r="AC125" s="67" t="n"/>
      <c r="AD125" s="67" t="n"/>
      <c r="AE125" s="67" t="n"/>
      <c r="AF125" s="67" t="n"/>
      <c r="AG125" s="67" t="n"/>
      <c r="AH125" s="67" t="n"/>
    </row>
    <row r="126" ht="14.25" customHeight="1">
      <c r="A126" s="70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74" t="n"/>
      <c r="R126" s="74" t="n"/>
      <c r="S126" s="74" t="n"/>
      <c r="T126" s="67" t="n"/>
      <c r="U126" s="67" t="n"/>
      <c r="V126" s="67" t="n"/>
      <c r="W126" s="74" t="n"/>
      <c r="X126" s="67" t="n"/>
      <c r="Y126" s="67" t="n"/>
      <c r="Z126" s="67" t="n"/>
      <c r="AA126" s="67" t="n"/>
      <c r="AB126" s="67" t="n"/>
      <c r="AC126" s="67" t="n"/>
      <c r="AD126" s="67" t="n"/>
      <c r="AE126" s="67" t="n"/>
      <c r="AF126" s="67" t="n"/>
      <c r="AG126" s="67" t="n"/>
      <c r="AH126" s="67" t="n"/>
    </row>
    <row r="127" ht="14.25" customHeight="1">
      <c r="A127" s="70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74" t="n"/>
      <c r="R127" s="74" t="n"/>
      <c r="S127" s="74" t="n"/>
      <c r="T127" s="67" t="n"/>
      <c r="U127" s="67" t="n"/>
      <c r="V127" s="67" t="n"/>
      <c r="W127" s="74" t="n"/>
      <c r="X127" s="67" t="n"/>
      <c r="Y127" s="67" t="n"/>
      <c r="Z127" s="67" t="n"/>
      <c r="AA127" s="67" t="n"/>
      <c r="AB127" s="67" t="n"/>
      <c r="AC127" s="67" t="n"/>
      <c r="AD127" s="67" t="n"/>
      <c r="AE127" s="67" t="n"/>
      <c r="AF127" s="67" t="n"/>
      <c r="AG127" s="67" t="n"/>
      <c r="AH127" s="67" t="n"/>
    </row>
    <row r="128" ht="14.25" customHeight="1">
      <c r="A128" s="70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74" t="n"/>
      <c r="R128" s="74" t="n"/>
      <c r="S128" s="74" t="n"/>
      <c r="T128" s="67" t="n"/>
      <c r="U128" s="67" t="n"/>
      <c r="V128" s="67" t="n"/>
      <c r="W128" s="74" t="n"/>
      <c r="X128" s="67" t="n"/>
      <c r="Y128" s="67" t="n"/>
      <c r="Z128" s="67" t="n"/>
      <c r="AA128" s="67" t="n"/>
      <c r="AB128" s="67" t="n"/>
      <c r="AC128" s="67" t="n"/>
      <c r="AD128" s="67" t="n"/>
      <c r="AE128" s="67" t="n"/>
      <c r="AF128" s="67" t="n"/>
      <c r="AG128" s="67" t="n"/>
      <c r="AH128" s="67" t="n"/>
    </row>
    <row r="129" ht="14.25" customHeight="1">
      <c r="A129" s="70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74" t="n"/>
      <c r="R129" s="74" t="n"/>
      <c r="S129" s="74" t="n"/>
      <c r="T129" s="67" t="n"/>
      <c r="U129" s="67" t="n"/>
      <c r="V129" s="67" t="n"/>
      <c r="W129" s="74" t="n"/>
      <c r="X129" s="67" t="n"/>
      <c r="Y129" s="67" t="n"/>
      <c r="Z129" s="67" t="n"/>
      <c r="AA129" s="67" t="n"/>
      <c r="AB129" s="67" t="n"/>
      <c r="AC129" s="67" t="n"/>
      <c r="AD129" s="67" t="n"/>
      <c r="AE129" s="67" t="n"/>
      <c r="AF129" s="67" t="n"/>
      <c r="AG129" s="67" t="n"/>
      <c r="AH129" s="67" t="n"/>
    </row>
    <row r="130" ht="14.25" customHeight="1">
      <c r="A130" s="70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74" t="n"/>
      <c r="R130" s="74" t="n"/>
      <c r="S130" s="74" t="n"/>
      <c r="T130" s="67" t="n"/>
      <c r="U130" s="67" t="n"/>
      <c r="V130" s="67" t="n"/>
      <c r="W130" s="74" t="n"/>
      <c r="X130" s="67" t="n"/>
      <c r="Y130" s="67" t="n"/>
      <c r="Z130" s="67" t="n"/>
      <c r="AA130" s="67" t="n"/>
      <c r="AB130" s="67" t="n"/>
      <c r="AC130" s="67" t="n"/>
      <c r="AD130" s="67" t="n"/>
      <c r="AE130" s="67" t="n"/>
      <c r="AF130" s="67" t="n"/>
      <c r="AG130" s="67" t="n"/>
      <c r="AH130" s="67" t="n"/>
    </row>
    <row r="131" ht="14.25" customHeight="1">
      <c r="A131" s="70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74" t="n"/>
      <c r="R131" s="74" t="n"/>
      <c r="S131" s="74" t="n"/>
      <c r="T131" s="67" t="n"/>
      <c r="U131" s="67" t="n"/>
      <c r="V131" s="67" t="n"/>
      <c r="W131" s="74" t="n"/>
      <c r="X131" s="67" t="n"/>
      <c r="Y131" s="67" t="n"/>
      <c r="Z131" s="67" t="n"/>
      <c r="AA131" s="67" t="n"/>
      <c r="AB131" s="67" t="n"/>
      <c r="AC131" s="67" t="n"/>
      <c r="AD131" s="67" t="n"/>
      <c r="AE131" s="67" t="n"/>
      <c r="AF131" s="67" t="n"/>
      <c r="AG131" s="67" t="n"/>
      <c r="AH131" s="67" t="n"/>
    </row>
    <row r="132" ht="14.25" customHeight="1">
      <c r="A132" s="70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74" t="n"/>
      <c r="R132" s="74" t="n"/>
      <c r="S132" s="74" t="n"/>
      <c r="T132" s="67" t="n"/>
      <c r="U132" s="67" t="n"/>
      <c r="V132" s="67" t="n"/>
      <c r="W132" s="74" t="n"/>
      <c r="X132" s="67" t="n"/>
      <c r="Y132" s="67" t="n"/>
      <c r="Z132" s="67" t="n"/>
      <c r="AA132" s="67" t="n"/>
      <c r="AB132" s="67" t="n"/>
      <c r="AC132" s="67" t="n"/>
      <c r="AD132" s="67" t="n"/>
      <c r="AE132" s="67" t="n"/>
      <c r="AF132" s="67" t="n"/>
      <c r="AG132" s="67" t="n"/>
      <c r="AH132" s="67" t="n"/>
    </row>
    <row r="133" ht="14.25" customHeight="1">
      <c r="A133" s="70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74" t="n"/>
      <c r="R133" s="74" t="n"/>
      <c r="S133" s="74" t="n"/>
      <c r="T133" s="67" t="n"/>
      <c r="U133" s="67" t="n"/>
      <c r="V133" s="67" t="n"/>
      <c r="W133" s="74" t="n"/>
      <c r="X133" s="67" t="n"/>
      <c r="Y133" s="67" t="n"/>
      <c r="Z133" s="67" t="n"/>
      <c r="AA133" s="67" t="n"/>
      <c r="AB133" s="67" t="n"/>
      <c r="AC133" s="67" t="n"/>
      <c r="AD133" s="67" t="n"/>
      <c r="AE133" s="67" t="n"/>
      <c r="AF133" s="67" t="n"/>
      <c r="AG133" s="67" t="n"/>
      <c r="AH133" s="67" t="n"/>
    </row>
    <row r="134" ht="14.25" customHeight="1">
      <c r="A134" s="70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74" t="n"/>
      <c r="R134" s="74" t="n"/>
      <c r="S134" s="74" t="n"/>
      <c r="T134" s="67" t="n"/>
      <c r="U134" s="67" t="n"/>
      <c r="V134" s="67" t="n"/>
      <c r="W134" s="74" t="n"/>
      <c r="X134" s="67" t="n"/>
      <c r="Y134" s="67" t="n"/>
      <c r="Z134" s="67" t="n"/>
      <c r="AA134" s="67" t="n"/>
      <c r="AB134" s="67" t="n"/>
      <c r="AC134" s="67" t="n"/>
      <c r="AD134" s="67" t="n"/>
      <c r="AE134" s="67" t="n"/>
      <c r="AF134" s="67" t="n"/>
      <c r="AG134" s="67" t="n"/>
      <c r="AH134" s="67" t="n"/>
    </row>
    <row r="135" ht="14.25" customHeight="1">
      <c r="A135" s="70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74" t="n"/>
      <c r="R135" s="74" t="n"/>
      <c r="S135" s="74" t="n"/>
      <c r="T135" s="67" t="n"/>
      <c r="U135" s="67" t="n"/>
      <c r="V135" s="67" t="n"/>
      <c r="W135" s="74" t="n"/>
      <c r="X135" s="67" t="n"/>
      <c r="Y135" s="67" t="n"/>
      <c r="Z135" s="67" t="n"/>
      <c r="AA135" s="67" t="n"/>
      <c r="AB135" s="67" t="n"/>
      <c r="AC135" s="67" t="n"/>
      <c r="AD135" s="67" t="n"/>
      <c r="AE135" s="67" t="n"/>
      <c r="AF135" s="67" t="n"/>
      <c r="AG135" s="67" t="n"/>
      <c r="AH135" s="67" t="n"/>
    </row>
    <row r="136" ht="14.25" customHeight="1">
      <c r="A136" s="70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74" t="n"/>
      <c r="R136" s="74" t="n"/>
      <c r="S136" s="74" t="n"/>
      <c r="T136" s="67" t="n"/>
      <c r="U136" s="67" t="n"/>
      <c r="V136" s="67" t="n"/>
      <c r="W136" s="74" t="n"/>
      <c r="X136" s="67" t="n"/>
      <c r="Y136" s="67" t="n"/>
      <c r="Z136" s="67" t="n"/>
      <c r="AA136" s="67" t="n"/>
      <c r="AB136" s="67" t="n"/>
      <c r="AC136" s="67" t="n"/>
      <c r="AD136" s="67" t="n"/>
      <c r="AE136" s="67" t="n"/>
      <c r="AF136" s="67" t="n"/>
      <c r="AG136" s="67" t="n"/>
      <c r="AH136" s="67" t="n"/>
    </row>
    <row r="137" ht="14.25" customHeight="1">
      <c r="A137" s="70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74" t="n"/>
      <c r="R137" s="74" t="n"/>
      <c r="S137" s="74" t="n"/>
      <c r="T137" s="67" t="n"/>
      <c r="U137" s="67" t="n"/>
      <c r="V137" s="67" t="n"/>
      <c r="W137" s="74" t="n"/>
      <c r="X137" s="67" t="n"/>
      <c r="Y137" s="67" t="n"/>
      <c r="Z137" s="67" t="n"/>
      <c r="AA137" s="67" t="n"/>
      <c r="AB137" s="67" t="n"/>
      <c r="AC137" s="67" t="n"/>
      <c r="AD137" s="67" t="n"/>
      <c r="AE137" s="67" t="n"/>
      <c r="AF137" s="67" t="n"/>
      <c r="AG137" s="67" t="n"/>
      <c r="AH137" s="67" t="n"/>
    </row>
    <row r="138" ht="14.25" customHeight="1">
      <c r="A138" s="70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74" t="n"/>
      <c r="R138" s="74" t="n"/>
      <c r="S138" s="74" t="n"/>
      <c r="T138" s="67" t="n"/>
      <c r="U138" s="67" t="n"/>
      <c r="V138" s="67" t="n"/>
      <c r="W138" s="74" t="n"/>
      <c r="X138" s="67" t="n"/>
      <c r="Y138" s="67" t="n"/>
      <c r="Z138" s="67" t="n"/>
      <c r="AA138" s="67" t="n"/>
      <c r="AB138" s="67" t="n"/>
      <c r="AC138" s="67" t="n"/>
      <c r="AD138" s="67" t="n"/>
      <c r="AE138" s="67" t="n"/>
      <c r="AF138" s="67" t="n"/>
      <c r="AG138" s="67" t="n"/>
      <c r="AH138" s="67" t="n"/>
    </row>
    <row r="139" ht="14.25" customHeight="1">
      <c r="A139" s="70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74" t="n"/>
      <c r="R139" s="74" t="n"/>
      <c r="S139" s="74" t="n"/>
      <c r="T139" s="67" t="n"/>
      <c r="U139" s="67" t="n"/>
      <c r="V139" s="67" t="n"/>
      <c r="W139" s="74" t="n"/>
      <c r="X139" s="67" t="n"/>
      <c r="Y139" s="67" t="n"/>
      <c r="Z139" s="67" t="n"/>
      <c r="AA139" s="67" t="n"/>
      <c r="AB139" s="67" t="n"/>
      <c r="AC139" s="67" t="n"/>
      <c r="AD139" s="67" t="n"/>
      <c r="AE139" s="67" t="n"/>
      <c r="AF139" s="67" t="n"/>
      <c r="AG139" s="67" t="n"/>
      <c r="AH139" s="67" t="n"/>
    </row>
    <row r="140" ht="14.25" customHeight="1">
      <c r="A140" s="70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74" t="n"/>
      <c r="R140" s="74" t="n"/>
      <c r="S140" s="74" t="n"/>
      <c r="T140" s="67" t="n"/>
      <c r="U140" s="67" t="n"/>
      <c r="V140" s="67" t="n"/>
      <c r="W140" s="74" t="n"/>
      <c r="X140" s="67" t="n"/>
      <c r="Y140" s="67" t="n"/>
      <c r="Z140" s="67" t="n"/>
      <c r="AA140" s="67" t="n"/>
      <c r="AB140" s="67" t="n"/>
      <c r="AC140" s="67" t="n"/>
      <c r="AD140" s="67" t="n"/>
      <c r="AE140" s="67" t="n"/>
      <c r="AF140" s="67" t="n"/>
      <c r="AG140" s="67" t="n"/>
      <c r="AH140" s="67" t="n"/>
    </row>
    <row r="141" ht="14.25" customHeight="1">
      <c r="A141" s="70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74" t="n"/>
      <c r="R141" s="74" t="n"/>
      <c r="S141" s="74" t="n"/>
      <c r="T141" s="67" t="n"/>
      <c r="U141" s="67" t="n"/>
      <c r="V141" s="67" t="n"/>
      <c r="W141" s="74" t="n"/>
      <c r="X141" s="67" t="n"/>
      <c r="Y141" s="67" t="n"/>
      <c r="Z141" s="67" t="n"/>
      <c r="AA141" s="67" t="n"/>
      <c r="AB141" s="67" t="n"/>
      <c r="AC141" s="67" t="n"/>
      <c r="AD141" s="67" t="n"/>
      <c r="AE141" s="67" t="n"/>
      <c r="AF141" s="67" t="n"/>
      <c r="AG141" s="67" t="n"/>
      <c r="AH141" s="67" t="n"/>
    </row>
    <row r="142" ht="14.25" customHeight="1">
      <c r="A142" s="70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74" t="n"/>
      <c r="R142" s="74" t="n"/>
      <c r="S142" s="74" t="n"/>
      <c r="T142" s="67" t="n"/>
      <c r="U142" s="67" t="n"/>
      <c r="V142" s="67" t="n"/>
      <c r="W142" s="74" t="n"/>
      <c r="X142" s="67" t="n"/>
      <c r="Y142" s="67" t="n"/>
      <c r="Z142" s="67" t="n"/>
      <c r="AA142" s="67" t="n"/>
      <c r="AB142" s="67" t="n"/>
      <c r="AC142" s="67" t="n"/>
      <c r="AD142" s="67" t="n"/>
      <c r="AE142" s="67" t="n"/>
      <c r="AF142" s="67" t="n"/>
      <c r="AG142" s="67" t="n"/>
      <c r="AH142" s="67" t="n"/>
    </row>
    <row r="143" ht="14.25" customHeight="1">
      <c r="A143" s="70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74" t="n"/>
      <c r="R143" s="74" t="n"/>
      <c r="S143" s="74" t="n"/>
      <c r="T143" s="67" t="n"/>
      <c r="U143" s="67" t="n"/>
      <c r="V143" s="67" t="n"/>
      <c r="W143" s="74" t="n"/>
      <c r="X143" s="67" t="n"/>
      <c r="Y143" s="67" t="n"/>
      <c r="Z143" s="67" t="n"/>
      <c r="AA143" s="67" t="n"/>
      <c r="AB143" s="67" t="n"/>
      <c r="AC143" s="67" t="n"/>
      <c r="AD143" s="67" t="n"/>
      <c r="AE143" s="67" t="n"/>
      <c r="AF143" s="67" t="n"/>
      <c r="AG143" s="67" t="n"/>
      <c r="AH143" s="67" t="n"/>
    </row>
    <row r="144" ht="14.25" customHeight="1">
      <c r="A144" s="7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74" t="n"/>
      <c r="R144" s="74" t="n"/>
      <c r="S144" s="74" t="n"/>
      <c r="T144" s="67" t="n"/>
      <c r="U144" s="67" t="n"/>
      <c r="V144" s="67" t="n"/>
      <c r="W144" s="74" t="n"/>
      <c r="X144" s="67" t="n"/>
      <c r="Y144" s="67" t="n"/>
      <c r="Z144" s="67" t="n"/>
      <c r="AA144" s="67" t="n"/>
      <c r="AB144" s="67" t="n"/>
      <c r="AC144" s="67" t="n"/>
      <c r="AD144" s="67" t="n"/>
      <c r="AE144" s="67" t="n"/>
      <c r="AF144" s="67" t="n"/>
      <c r="AG144" s="67" t="n"/>
      <c r="AH144" s="67" t="n"/>
    </row>
    <row r="145" ht="14.25" customHeight="1">
      <c r="A145" s="70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74" t="n"/>
      <c r="R145" s="74" t="n"/>
      <c r="S145" s="74" t="n"/>
      <c r="T145" s="67" t="n"/>
      <c r="U145" s="67" t="n"/>
      <c r="V145" s="67" t="n"/>
      <c r="W145" s="74" t="n"/>
      <c r="X145" s="67" t="n"/>
      <c r="Y145" s="67" t="n"/>
      <c r="Z145" s="67" t="n"/>
      <c r="AA145" s="67" t="n"/>
      <c r="AB145" s="67" t="n"/>
      <c r="AC145" s="67" t="n"/>
      <c r="AD145" s="67" t="n"/>
      <c r="AE145" s="67" t="n"/>
      <c r="AF145" s="67" t="n"/>
      <c r="AG145" s="67" t="n"/>
      <c r="AH145" s="67" t="n"/>
    </row>
    <row r="146" ht="14.25" customHeight="1">
      <c r="A146" s="70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74" t="n"/>
      <c r="R146" s="74" t="n"/>
      <c r="S146" s="74" t="n"/>
      <c r="T146" s="67" t="n"/>
      <c r="U146" s="67" t="n"/>
      <c r="V146" s="67" t="n"/>
      <c r="W146" s="74" t="n"/>
      <c r="X146" s="67" t="n"/>
      <c r="Y146" s="67" t="n"/>
      <c r="Z146" s="67" t="n"/>
      <c r="AA146" s="67" t="n"/>
      <c r="AB146" s="67" t="n"/>
      <c r="AC146" s="67" t="n"/>
      <c r="AD146" s="67" t="n"/>
      <c r="AE146" s="67" t="n"/>
      <c r="AF146" s="67" t="n"/>
      <c r="AG146" s="67" t="n"/>
      <c r="AH146" s="67" t="n"/>
    </row>
    <row r="147" ht="14.25" customHeight="1">
      <c r="A147" s="70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74" t="n"/>
      <c r="R147" s="74" t="n"/>
      <c r="S147" s="74" t="n"/>
      <c r="T147" s="67" t="n"/>
      <c r="U147" s="67" t="n"/>
      <c r="V147" s="67" t="n"/>
      <c r="W147" s="74" t="n"/>
      <c r="X147" s="67" t="n"/>
      <c r="Y147" s="67" t="n"/>
      <c r="Z147" s="67" t="n"/>
      <c r="AA147" s="67" t="n"/>
      <c r="AB147" s="67" t="n"/>
      <c r="AC147" s="67" t="n"/>
      <c r="AD147" s="67" t="n"/>
      <c r="AE147" s="67" t="n"/>
      <c r="AF147" s="67" t="n"/>
      <c r="AG147" s="67" t="n"/>
      <c r="AH147" s="67" t="n"/>
    </row>
    <row r="148" ht="14.25" customHeight="1">
      <c r="A148" s="70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74" t="n"/>
      <c r="R148" s="74" t="n"/>
      <c r="S148" s="74" t="n"/>
      <c r="T148" s="67" t="n"/>
      <c r="U148" s="67" t="n"/>
      <c r="V148" s="67" t="n"/>
      <c r="W148" s="74" t="n"/>
      <c r="X148" s="67" t="n"/>
      <c r="Y148" s="67" t="n"/>
      <c r="Z148" s="67" t="n"/>
      <c r="AA148" s="67" t="n"/>
      <c r="AB148" s="67" t="n"/>
      <c r="AC148" s="67" t="n"/>
      <c r="AD148" s="67" t="n"/>
      <c r="AE148" s="67" t="n"/>
      <c r="AF148" s="67" t="n"/>
      <c r="AG148" s="67" t="n"/>
      <c r="AH148" s="67" t="n"/>
    </row>
    <row r="149" ht="14.25" customHeight="1">
      <c r="A149" s="70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74" t="n"/>
      <c r="R149" s="74" t="n"/>
      <c r="S149" s="74" t="n"/>
      <c r="T149" s="67" t="n"/>
      <c r="U149" s="67" t="n"/>
      <c r="V149" s="67" t="n"/>
      <c r="W149" s="74" t="n"/>
      <c r="X149" s="67" t="n"/>
      <c r="Y149" s="67" t="n"/>
      <c r="Z149" s="67" t="n"/>
      <c r="AA149" s="67" t="n"/>
      <c r="AB149" s="67" t="n"/>
      <c r="AC149" s="67" t="n"/>
      <c r="AD149" s="67" t="n"/>
      <c r="AE149" s="67" t="n"/>
      <c r="AF149" s="67" t="n"/>
      <c r="AG149" s="67" t="n"/>
      <c r="AH149" s="67" t="n"/>
    </row>
    <row r="150" ht="14.25" customHeight="1">
      <c r="A150" s="70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74" t="n"/>
      <c r="R150" s="74" t="n"/>
      <c r="S150" s="74" t="n"/>
      <c r="T150" s="67" t="n"/>
      <c r="U150" s="67" t="n"/>
      <c r="V150" s="67" t="n"/>
      <c r="W150" s="74" t="n"/>
      <c r="X150" s="67" t="n"/>
      <c r="Y150" s="67" t="n"/>
      <c r="Z150" s="67" t="n"/>
      <c r="AA150" s="67" t="n"/>
      <c r="AB150" s="67" t="n"/>
      <c r="AC150" s="67" t="n"/>
      <c r="AD150" s="67" t="n"/>
      <c r="AE150" s="67" t="n"/>
      <c r="AF150" s="67" t="n"/>
      <c r="AG150" s="67" t="n"/>
      <c r="AH150" s="67" t="n"/>
    </row>
    <row r="151" ht="14.25" customHeight="1">
      <c r="A151" s="70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74" t="n"/>
      <c r="R151" s="74" t="n"/>
      <c r="S151" s="74" t="n"/>
      <c r="T151" s="67" t="n"/>
      <c r="U151" s="67" t="n"/>
      <c r="V151" s="67" t="n"/>
      <c r="W151" s="74" t="n"/>
      <c r="X151" s="67" t="n"/>
      <c r="Y151" s="67" t="n"/>
      <c r="Z151" s="67" t="n"/>
      <c r="AA151" s="67" t="n"/>
      <c r="AB151" s="67" t="n"/>
      <c r="AC151" s="67" t="n"/>
      <c r="AD151" s="67" t="n"/>
      <c r="AE151" s="67" t="n"/>
      <c r="AF151" s="67" t="n"/>
      <c r="AG151" s="67" t="n"/>
      <c r="AH151" s="67" t="n"/>
    </row>
    <row r="152" ht="14.25" customHeight="1">
      <c r="A152" s="70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74" t="n"/>
      <c r="R152" s="74" t="n"/>
      <c r="S152" s="74" t="n"/>
      <c r="T152" s="67" t="n"/>
      <c r="U152" s="67" t="n"/>
      <c r="V152" s="67" t="n"/>
      <c r="W152" s="74" t="n"/>
      <c r="X152" s="67" t="n"/>
      <c r="Y152" s="67" t="n"/>
      <c r="Z152" s="67" t="n"/>
      <c r="AA152" s="67" t="n"/>
      <c r="AB152" s="67" t="n"/>
      <c r="AC152" s="67" t="n"/>
      <c r="AD152" s="67" t="n"/>
      <c r="AE152" s="67" t="n"/>
      <c r="AF152" s="67" t="n"/>
      <c r="AG152" s="67" t="n"/>
      <c r="AH152" s="67" t="n"/>
    </row>
    <row r="153" ht="14.25" customHeight="1">
      <c r="A153" s="70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74" t="n"/>
      <c r="R153" s="74" t="n"/>
      <c r="S153" s="74" t="n"/>
      <c r="T153" s="67" t="n"/>
      <c r="U153" s="67" t="n"/>
      <c r="V153" s="67" t="n"/>
      <c r="W153" s="74" t="n"/>
      <c r="X153" s="67" t="n"/>
      <c r="Y153" s="67" t="n"/>
      <c r="Z153" s="67" t="n"/>
      <c r="AA153" s="67" t="n"/>
      <c r="AB153" s="67" t="n"/>
      <c r="AC153" s="67" t="n"/>
      <c r="AD153" s="67" t="n"/>
      <c r="AE153" s="67" t="n"/>
      <c r="AF153" s="67" t="n"/>
      <c r="AG153" s="67" t="n"/>
      <c r="AH153" s="67" t="n"/>
    </row>
    <row r="154" ht="14.25" customHeight="1">
      <c r="A154" s="70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74" t="n"/>
      <c r="R154" s="74" t="n"/>
      <c r="S154" s="74" t="n"/>
      <c r="T154" s="67" t="n"/>
      <c r="U154" s="67" t="n"/>
      <c r="V154" s="67" t="n"/>
      <c r="W154" s="74" t="n"/>
      <c r="X154" s="67" t="n"/>
      <c r="Y154" s="67" t="n"/>
      <c r="Z154" s="67" t="n"/>
      <c r="AA154" s="67" t="n"/>
      <c r="AB154" s="67" t="n"/>
      <c r="AC154" s="67" t="n"/>
      <c r="AD154" s="67" t="n"/>
      <c r="AE154" s="67" t="n"/>
      <c r="AF154" s="67" t="n"/>
      <c r="AG154" s="67" t="n"/>
      <c r="AH154" s="67" t="n"/>
    </row>
    <row r="155" ht="14.25" customHeight="1">
      <c r="A155" s="70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74" t="n"/>
      <c r="R155" s="74" t="n"/>
      <c r="S155" s="74" t="n"/>
      <c r="T155" s="67" t="n"/>
      <c r="U155" s="67" t="n"/>
      <c r="V155" s="67" t="n"/>
      <c r="W155" s="74" t="n"/>
      <c r="X155" s="67" t="n"/>
      <c r="Y155" s="67" t="n"/>
      <c r="Z155" s="67" t="n"/>
      <c r="AA155" s="67" t="n"/>
      <c r="AB155" s="67" t="n"/>
      <c r="AC155" s="67" t="n"/>
      <c r="AD155" s="67" t="n"/>
      <c r="AE155" s="67" t="n"/>
      <c r="AF155" s="67" t="n"/>
      <c r="AG155" s="67" t="n"/>
      <c r="AH155" s="67" t="n"/>
    </row>
    <row r="156" ht="14.25" customHeight="1">
      <c r="A156" s="70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74" t="n"/>
      <c r="R156" s="74" t="n"/>
      <c r="S156" s="74" t="n"/>
      <c r="T156" s="67" t="n"/>
      <c r="U156" s="67" t="n"/>
      <c r="V156" s="67" t="n"/>
      <c r="W156" s="74" t="n"/>
      <c r="X156" s="67" t="n"/>
      <c r="Y156" s="67" t="n"/>
      <c r="Z156" s="67" t="n"/>
      <c r="AA156" s="67" t="n"/>
      <c r="AB156" s="67" t="n"/>
      <c r="AC156" s="67" t="n"/>
      <c r="AD156" s="67" t="n"/>
      <c r="AE156" s="67" t="n"/>
      <c r="AF156" s="67" t="n"/>
      <c r="AG156" s="67" t="n"/>
      <c r="AH156" s="67" t="n"/>
    </row>
    <row r="157" ht="14.25" customHeight="1">
      <c r="A157" s="70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74" t="n"/>
      <c r="R157" s="74" t="n"/>
      <c r="S157" s="74" t="n"/>
      <c r="T157" s="67" t="n"/>
      <c r="U157" s="67" t="n"/>
      <c r="V157" s="67" t="n"/>
      <c r="W157" s="74" t="n"/>
      <c r="X157" s="67" t="n"/>
      <c r="Y157" s="67" t="n"/>
      <c r="Z157" s="67" t="n"/>
      <c r="AA157" s="67" t="n"/>
      <c r="AB157" s="67" t="n"/>
      <c r="AC157" s="67" t="n"/>
      <c r="AD157" s="67" t="n"/>
      <c r="AE157" s="67" t="n"/>
      <c r="AF157" s="67" t="n"/>
      <c r="AG157" s="67" t="n"/>
      <c r="AH157" s="67" t="n"/>
    </row>
    <row r="158" ht="14.25" customHeight="1">
      <c r="A158" s="70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74" t="n"/>
      <c r="R158" s="74" t="n"/>
      <c r="S158" s="74" t="n"/>
      <c r="T158" s="67" t="n"/>
      <c r="U158" s="67" t="n"/>
      <c r="V158" s="67" t="n"/>
      <c r="W158" s="74" t="n"/>
      <c r="X158" s="67" t="n"/>
      <c r="Y158" s="67" t="n"/>
      <c r="Z158" s="67" t="n"/>
      <c r="AA158" s="67" t="n"/>
      <c r="AB158" s="67" t="n"/>
      <c r="AC158" s="67" t="n"/>
      <c r="AD158" s="67" t="n"/>
      <c r="AE158" s="67" t="n"/>
      <c r="AF158" s="67" t="n"/>
      <c r="AG158" s="67" t="n"/>
      <c r="AH158" s="67" t="n"/>
    </row>
    <row r="159" ht="14.25" customHeight="1">
      <c r="A159" s="70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74" t="n"/>
      <c r="R159" s="74" t="n"/>
      <c r="S159" s="74" t="n"/>
      <c r="T159" s="67" t="n"/>
      <c r="U159" s="67" t="n"/>
      <c r="V159" s="67" t="n"/>
      <c r="W159" s="74" t="n"/>
      <c r="X159" s="67" t="n"/>
      <c r="Y159" s="67" t="n"/>
      <c r="Z159" s="67" t="n"/>
      <c r="AA159" s="67" t="n"/>
      <c r="AB159" s="67" t="n"/>
      <c r="AC159" s="67" t="n"/>
      <c r="AD159" s="67" t="n"/>
      <c r="AE159" s="67" t="n"/>
      <c r="AF159" s="67" t="n"/>
      <c r="AG159" s="67" t="n"/>
      <c r="AH159" s="67" t="n"/>
    </row>
    <row r="160" ht="14.25" customHeight="1">
      <c r="A160" s="70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74" t="n"/>
      <c r="R160" s="74" t="n"/>
      <c r="S160" s="74" t="n"/>
      <c r="T160" s="67" t="n"/>
      <c r="U160" s="67" t="n"/>
      <c r="V160" s="67" t="n"/>
      <c r="W160" s="74" t="n"/>
      <c r="X160" s="67" t="n"/>
      <c r="Y160" s="67" t="n"/>
      <c r="Z160" s="67" t="n"/>
      <c r="AA160" s="67" t="n"/>
      <c r="AB160" s="67" t="n"/>
      <c r="AC160" s="67" t="n"/>
      <c r="AD160" s="67" t="n"/>
      <c r="AE160" s="67" t="n"/>
      <c r="AF160" s="67" t="n"/>
      <c r="AG160" s="67" t="n"/>
      <c r="AH160" s="67" t="n"/>
    </row>
    <row r="161" ht="14.25" customHeight="1">
      <c r="A161" s="70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74" t="n"/>
      <c r="R161" s="74" t="n"/>
      <c r="S161" s="74" t="n"/>
      <c r="T161" s="67" t="n"/>
      <c r="U161" s="67" t="n"/>
      <c r="V161" s="67" t="n"/>
      <c r="W161" s="74" t="n"/>
      <c r="X161" s="67" t="n"/>
      <c r="Y161" s="67" t="n"/>
      <c r="Z161" s="67" t="n"/>
      <c r="AA161" s="67" t="n"/>
      <c r="AB161" s="67" t="n"/>
      <c r="AC161" s="67" t="n"/>
      <c r="AD161" s="67" t="n"/>
      <c r="AE161" s="67" t="n"/>
      <c r="AF161" s="67" t="n"/>
      <c r="AG161" s="67" t="n"/>
      <c r="AH161" s="67" t="n"/>
    </row>
    <row r="162" ht="14.25" customHeight="1">
      <c r="A162" s="70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74" t="n"/>
      <c r="R162" s="74" t="n"/>
      <c r="S162" s="74" t="n"/>
      <c r="T162" s="67" t="n"/>
      <c r="U162" s="67" t="n"/>
      <c r="V162" s="67" t="n"/>
      <c r="W162" s="74" t="n"/>
      <c r="X162" s="67" t="n"/>
      <c r="Y162" s="67" t="n"/>
      <c r="Z162" s="67" t="n"/>
      <c r="AA162" s="67" t="n"/>
      <c r="AB162" s="67" t="n"/>
      <c r="AC162" s="67" t="n"/>
      <c r="AD162" s="67" t="n"/>
      <c r="AE162" s="67" t="n"/>
      <c r="AF162" s="67" t="n"/>
      <c r="AG162" s="67" t="n"/>
      <c r="AH162" s="67" t="n"/>
    </row>
    <row r="163" ht="14.25" customHeight="1">
      <c r="A163" s="70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74" t="n"/>
      <c r="R163" s="74" t="n"/>
      <c r="S163" s="74" t="n"/>
      <c r="T163" s="67" t="n"/>
      <c r="U163" s="67" t="n"/>
      <c r="V163" s="67" t="n"/>
      <c r="W163" s="74" t="n"/>
      <c r="X163" s="67" t="n"/>
      <c r="Y163" s="67" t="n"/>
      <c r="Z163" s="67" t="n"/>
      <c r="AA163" s="67" t="n"/>
      <c r="AB163" s="67" t="n"/>
      <c r="AC163" s="67" t="n"/>
      <c r="AD163" s="67" t="n"/>
      <c r="AE163" s="67" t="n"/>
      <c r="AF163" s="67" t="n"/>
      <c r="AG163" s="67" t="n"/>
      <c r="AH163" s="67" t="n"/>
    </row>
    <row r="164" ht="14.25" customHeight="1">
      <c r="A164" s="70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74" t="n"/>
      <c r="R164" s="74" t="n"/>
      <c r="S164" s="74" t="n"/>
      <c r="T164" s="67" t="n"/>
      <c r="U164" s="67" t="n"/>
      <c r="V164" s="67" t="n"/>
      <c r="W164" s="74" t="n"/>
      <c r="X164" s="67" t="n"/>
      <c r="Y164" s="67" t="n"/>
      <c r="Z164" s="67" t="n"/>
      <c r="AA164" s="67" t="n"/>
      <c r="AB164" s="67" t="n"/>
      <c r="AC164" s="67" t="n"/>
      <c r="AD164" s="67" t="n"/>
      <c r="AE164" s="67" t="n"/>
      <c r="AF164" s="67" t="n"/>
      <c r="AG164" s="67" t="n"/>
      <c r="AH164" s="67" t="n"/>
    </row>
    <row r="165" ht="14.25" customHeight="1">
      <c r="A165" s="70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74" t="n"/>
      <c r="R165" s="74" t="n"/>
      <c r="S165" s="74" t="n"/>
      <c r="T165" s="67" t="n"/>
      <c r="U165" s="67" t="n"/>
      <c r="V165" s="67" t="n"/>
      <c r="W165" s="74" t="n"/>
      <c r="X165" s="67" t="n"/>
      <c r="Y165" s="67" t="n"/>
      <c r="Z165" s="67" t="n"/>
      <c r="AA165" s="67" t="n"/>
      <c r="AB165" s="67" t="n"/>
      <c r="AC165" s="67" t="n"/>
      <c r="AD165" s="67" t="n"/>
      <c r="AE165" s="67" t="n"/>
      <c r="AF165" s="67" t="n"/>
      <c r="AG165" s="67" t="n"/>
      <c r="AH165" s="67" t="n"/>
    </row>
    <row r="166" ht="14.25" customHeight="1">
      <c r="A166" s="70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74" t="n"/>
      <c r="R166" s="74" t="n"/>
      <c r="S166" s="74" t="n"/>
      <c r="T166" s="67" t="n"/>
      <c r="U166" s="67" t="n"/>
      <c r="V166" s="67" t="n"/>
      <c r="W166" s="74" t="n"/>
      <c r="X166" s="67" t="n"/>
      <c r="Y166" s="67" t="n"/>
      <c r="Z166" s="67" t="n"/>
      <c r="AA166" s="67" t="n"/>
      <c r="AB166" s="67" t="n"/>
      <c r="AC166" s="67" t="n"/>
      <c r="AD166" s="67" t="n"/>
      <c r="AE166" s="67" t="n"/>
      <c r="AF166" s="67" t="n"/>
      <c r="AG166" s="67" t="n"/>
      <c r="AH166" s="67" t="n"/>
    </row>
    <row r="167" ht="14.25" customHeight="1">
      <c r="A167" s="70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74" t="n"/>
      <c r="R167" s="74" t="n"/>
      <c r="S167" s="74" t="n"/>
      <c r="T167" s="67" t="n"/>
      <c r="U167" s="67" t="n"/>
      <c r="V167" s="67" t="n"/>
      <c r="W167" s="74" t="n"/>
      <c r="X167" s="67" t="n"/>
      <c r="Y167" s="67" t="n"/>
      <c r="Z167" s="67" t="n"/>
      <c r="AA167" s="67" t="n"/>
      <c r="AB167" s="67" t="n"/>
      <c r="AC167" s="67" t="n"/>
      <c r="AD167" s="67" t="n"/>
      <c r="AE167" s="67" t="n"/>
      <c r="AF167" s="67" t="n"/>
      <c r="AG167" s="67" t="n"/>
      <c r="AH167" s="67" t="n"/>
    </row>
    <row r="168" ht="14.25" customHeight="1">
      <c r="A168" s="70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74" t="n"/>
      <c r="R168" s="74" t="n"/>
      <c r="S168" s="74" t="n"/>
      <c r="T168" s="67" t="n"/>
      <c r="U168" s="67" t="n"/>
      <c r="V168" s="67" t="n"/>
      <c r="W168" s="74" t="n"/>
      <c r="X168" s="67" t="n"/>
      <c r="Y168" s="67" t="n"/>
      <c r="Z168" s="67" t="n"/>
      <c r="AA168" s="67" t="n"/>
      <c r="AB168" s="67" t="n"/>
      <c r="AC168" s="67" t="n"/>
      <c r="AD168" s="67" t="n"/>
      <c r="AE168" s="67" t="n"/>
      <c r="AF168" s="67" t="n"/>
      <c r="AG168" s="67" t="n"/>
      <c r="AH168" s="67" t="n"/>
    </row>
    <row r="169" ht="14.25" customHeight="1">
      <c r="A169" s="70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74" t="n"/>
      <c r="R169" s="74" t="n"/>
      <c r="S169" s="74" t="n"/>
      <c r="T169" s="67" t="n"/>
      <c r="U169" s="67" t="n"/>
      <c r="V169" s="67" t="n"/>
      <c r="W169" s="74" t="n"/>
      <c r="X169" s="67" t="n"/>
      <c r="Y169" s="67" t="n"/>
      <c r="Z169" s="67" t="n"/>
      <c r="AA169" s="67" t="n"/>
      <c r="AB169" s="67" t="n"/>
      <c r="AC169" s="67" t="n"/>
      <c r="AD169" s="67" t="n"/>
      <c r="AE169" s="67" t="n"/>
      <c r="AF169" s="67" t="n"/>
      <c r="AG169" s="67" t="n"/>
      <c r="AH169" s="67" t="n"/>
    </row>
    <row r="170" ht="14.25" customHeight="1">
      <c r="A170" s="70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74" t="n"/>
      <c r="R170" s="74" t="n"/>
      <c r="S170" s="74" t="n"/>
      <c r="T170" s="67" t="n"/>
      <c r="U170" s="67" t="n"/>
      <c r="V170" s="67" t="n"/>
      <c r="W170" s="74" t="n"/>
      <c r="X170" s="67" t="n"/>
      <c r="Y170" s="67" t="n"/>
      <c r="Z170" s="67" t="n"/>
      <c r="AA170" s="67" t="n"/>
      <c r="AB170" s="67" t="n"/>
      <c r="AC170" s="67" t="n"/>
      <c r="AD170" s="67" t="n"/>
      <c r="AE170" s="67" t="n"/>
      <c r="AF170" s="67" t="n"/>
      <c r="AG170" s="67" t="n"/>
      <c r="AH170" s="67" t="n"/>
    </row>
    <row r="171" ht="14.25" customHeight="1">
      <c r="A171" s="70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74" t="n"/>
      <c r="R171" s="74" t="n"/>
      <c r="S171" s="74" t="n"/>
      <c r="T171" s="67" t="n"/>
      <c r="U171" s="67" t="n"/>
      <c r="V171" s="67" t="n"/>
      <c r="W171" s="74" t="n"/>
      <c r="X171" s="67" t="n"/>
      <c r="Y171" s="67" t="n"/>
      <c r="Z171" s="67" t="n"/>
      <c r="AA171" s="67" t="n"/>
      <c r="AB171" s="67" t="n"/>
      <c r="AC171" s="67" t="n"/>
      <c r="AD171" s="67" t="n"/>
      <c r="AE171" s="67" t="n"/>
      <c r="AF171" s="67" t="n"/>
      <c r="AG171" s="67" t="n"/>
      <c r="AH171" s="67" t="n"/>
    </row>
    <row r="172" ht="14.25" customHeight="1">
      <c r="A172" s="70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74" t="n"/>
      <c r="R172" s="74" t="n"/>
      <c r="S172" s="74" t="n"/>
      <c r="T172" s="67" t="n"/>
      <c r="U172" s="67" t="n"/>
      <c r="V172" s="67" t="n"/>
      <c r="W172" s="74" t="n"/>
      <c r="X172" s="67" t="n"/>
      <c r="Y172" s="67" t="n"/>
      <c r="Z172" s="67" t="n"/>
      <c r="AA172" s="67" t="n"/>
      <c r="AB172" s="67" t="n"/>
      <c r="AC172" s="67" t="n"/>
      <c r="AD172" s="67" t="n"/>
      <c r="AE172" s="67" t="n"/>
      <c r="AF172" s="67" t="n"/>
      <c r="AG172" s="67" t="n"/>
      <c r="AH172" s="67" t="n"/>
    </row>
    <row r="173" ht="14.25" customHeight="1">
      <c r="A173" s="70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74" t="n"/>
      <c r="R173" s="74" t="n"/>
      <c r="S173" s="74" t="n"/>
      <c r="T173" s="67" t="n"/>
      <c r="U173" s="67" t="n"/>
      <c r="V173" s="67" t="n"/>
      <c r="W173" s="74" t="n"/>
      <c r="X173" s="67" t="n"/>
      <c r="Y173" s="67" t="n"/>
      <c r="Z173" s="67" t="n"/>
      <c r="AA173" s="67" t="n"/>
      <c r="AB173" s="67" t="n"/>
      <c r="AC173" s="67" t="n"/>
      <c r="AD173" s="67" t="n"/>
      <c r="AE173" s="67" t="n"/>
      <c r="AF173" s="67" t="n"/>
      <c r="AG173" s="67" t="n"/>
      <c r="AH173" s="67" t="n"/>
    </row>
    <row r="174" ht="14.25" customHeight="1">
      <c r="A174" s="70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74" t="n"/>
      <c r="R174" s="74" t="n"/>
      <c r="S174" s="74" t="n"/>
      <c r="T174" s="67" t="n"/>
      <c r="U174" s="67" t="n"/>
      <c r="V174" s="67" t="n"/>
      <c r="W174" s="74" t="n"/>
      <c r="X174" s="67" t="n"/>
      <c r="Y174" s="67" t="n"/>
      <c r="Z174" s="67" t="n"/>
      <c r="AA174" s="67" t="n"/>
      <c r="AB174" s="67" t="n"/>
      <c r="AC174" s="67" t="n"/>
      <c r="AD174" s="67" t="n"/>
      <c r="AE174" s="67" t="n"/>
      <c r="AF174" s="67" t="n"/>
      <c r="AG174" s="67" t="n"/>
      <c r="AH174" s="67" t="n"/>
    </row>
    <row r="175" ht="14.25" customHeight="1">
      <c r="A175" s="70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74" t="n"/>
      <c r="R175" s="74" t="n"/>
      <c r="S175" s="74" t="n"/>
      <c r="T175" s="67" t="n"/>
      <c r="U175" s="67" t="n"/>
      <c r="V175" s="67" t="n"/>
      <c r="W175" s="74" t="n"/>
      <c r="X175" s="67" t="n"/>
      <c r="Y175" s="67" t="n"/>
      <c r="Z175" s="67" t="n"/>
      <c r="AA175" s="67" t="n"/>
      <c r="AB175" s="67" t="n"/>
      <c r="AC175" s="67" t="n"/>
      <c r="AD175" s="67" t="n"/>
      <c r="AE175" s="67" t="n"/>
      <c r="AF175" s="67" t="n"/>
      <c r="AG175" s="67" t="n"/>
      <c r="AH175" s="67" t="n"/>
    </row>
    <row r="176" ht="14.25" customHeight="1">
      <c r="A176" s="70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74" t="n"/>
      <c r="R176" s="74" t="n"/>
      <c r="S176" s="74" t="n"/>
      <c r="T176" s="67" t="n"/>
      <c r="U176" s="67" t="n"/>
      <c r="V176" s="67" t="n"/>
      <c r="W176" s="74" t="n"/>
      <c r="X176" s="67" t="n"/>
      <c r="Y176" s="67" t="n"/>
      <c r="Z176" s="67" t="n"/>
      <c r="AA176" s="67" t="n"/>
      <c r="AB176" s="67" t="n"/>
      <c r="AC176" s="67" t="n"/>
      <c r="AD176" s="67" t="n"/>
      <c r="AE176" s="67" t="n"/>
      <c r="AF176" s="67" t="n"/>
      <c r="AG176" s="67" t="n"/>
      <c r="AH176" s="67" t="n"/>
    </row>
    <row r="177" ht="14.25" customHeight="1">
      <c r="A177" s="70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74" t="n"/>
      <c r="R177" s="74" t="n"/>
      <c r="S177" s="74" t="n"/>
      <c r="T177" s="67" t="n"/>
      <c r="U177" s="67" t="n"/>
      <c r="V177" s="67" t="n"/>
      <c r="W177" s="74" t="n"/>
      <c r="X177" s="67" t="n"/>
      <c r="Y177" s="67" t="n"/>
      <c r="Z177" s="67" t="n"/>
      <c r="AA177" s="67" t="n"/>
      <c r="AB177" s="67" t="n"/>
      <c r="AC177" s="67" t="n"/>
      <c r="AD177" s="67" t="n"/>
      <c r="AE177" s="67" t="n"/>
      <c r="AF177" s="67" t="n"/>
      <c r="AG177" s="67" t="n"/>
      <c r="AH177" s="67" t="n"/>
    </row>
    <row r="178" ht="14.25" customHeight="1">
      <c r="A178" s="70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74" t="n"/>
      <c r="R178" s="74" t="n"/>
      <c r="S178" s="74" t="n"/>
      <c r="T178" s="67" t="n"/>
      <c r="U178" s="67" t="n"/>
      <c r="V178" s="67" t="n"/>
      <c r="W178" s="74" t="n"/>
      <c r="X178" s="67" t="n"/>
      <c r="Y178" s="67" t="n"/>
      <c r="Z178" s="67" t="n"/>
      <c r="AA178" s="67" t="n"/>
      <c r="AB178" s="67" t="n"/>
      <c r="AC178" s="67" t="n"/>
      <c r="AD178" s="67" t="n"/>
      <c r="AE178" s="67" t="n"/>
      <c r="AF178" s="67" t="n"/>
      <c r="AG178" s="67" t="n"/>
      <c r="AH178" s="67" t="n"/>
    </row>
    <row r="179" ht="14.25" customHeight="1">
      <c r="A179" s="70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74" t="n"/>
      <c r="R179" s="74" t="n"/>
      <c r="S179" s="74" t="n"/>
      <c r="T179" s="67" t="n"/>
      <c r="U179" s="67" t="n"/>
      <c r="V179" s="67" t="n"/>
      <c r="W179" s="74" t="n"/>
      <c r="X179" s="67" t="n"/>
      <c r="Y179" s="67" t="n"/>
      <c r="Z179" s="67" t="n"/>
      <c r="AA179" s="67" t="n"/>
      <c r="AB179" s="67" t="n"/>
      <c r="AC179" s="67" t="n"/>
      <c r="AD179" s="67" t="n"/>
      <c r="AE179" s="67" t="n"/>
      <c r="AF179" s="67" t="n"/>
      <c r="AG179" s="67" t="n"/>
      <c r="AH179" s="67" t="n"/>
    </row>
    <row r="180" ht="14.25" customHeight="1">
      <c r="A180" s="70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74" t="n"/>
      <c r="R180" s="74" t="n"/>
      <c r="S180" s="74" t="n"/>
      <c r="T180" s="67" t="n"/>
      <c r="U180" s="67" t="n"/>
      <c r="V180" s="67" t="n"/>
      <c r="W180" s="74" t="n"/>
      <c r="X180" s="67" t="n"/>
      <c r="Y180" s="67" t="n"/>
      <c r="Z180" s="67" t="n"/>
      <c r="AA180" s="67" t="n"/>
      <c r="AB180" s="67" t="n"/>
      <c r="AC180" s="67" t="n"/>
      <c r="AD180" s="67" t="n"/>
      <c r="AE180" s="67" t="n"/>
      <c r="AF180" s="67" t="n"/>
      <c r="AG180" s="67" t="n"/>
      <c r="AH180" s="67" t="n"/>
    </row>
    <row r="181" ht="14.25" customHeight="1">
      <c r="A181" s="70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74" t="n"/>
      <c r="R181" s="74" t="n"/>
      <c r="S181" s="74" t="n"/>
      <c r="T181" s="67" t="n"/>
      <c r="U181" s="67" t="n"/>
      <c r="V181" s="67" t="n"/>
      <c r="W181" s="74" t="n"/>
      <c r="X181" s="67" t="n"/>
      <c r="Y181" s="67" t="n"/>
      <c r="Z181" s="67" t="n"/>
      <c r="AA181" s="67" t="n"/>
      <c r="AB181" s="67" t="n"/>
      <c r="AC181" s="67" t="n"/>
      <c r="AD181" s="67" t="n"/>
      <c r="AE181" s="67" t="n"/>
      <c r="AF181" s="67" t="n"/>
      <c r="AG181" s="67" t="n"/>
      <c r="AH181" s="67" t="n"/>
    </row>
    <row r="182" ht="14.25" customHeight="1">
      <c r="A182" s="70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74" t="n"/>
      <c r="R182" s="74" t="n"/>
      <c r="S182" s="74" t="n"/>
      <c r="T182" s="67" t="n"/>
      <c r="U182" s="67" t="n"/>
      <c r="V182" s="67" t="n"/>
      <c r="W182" s="74" t="n"/>
      <c r="X182" s="67" t="n"/>
      <c r="Y182" s="67" t="n"/>
      <c r="Z182" s="67" t="n"/>
      <c r="AA182" s="67" t="n"/>
      <c r="AB182" s="67" t="n"/>
      <c r="AC182" s="67" t="n"/>
      <c r="AD182" s="67" t="n"/>
      <c r="AE182" s="67" t="n"/>
      <c r="AF182" s="67" t="n"/>
      <c r="AG182" s="67" t="n"/>
      <c r="AH182" s="67" t="n"/>
    </row>
    <row r="183" ht="14.25" customHeight="1">
      <c r="A183" s="70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74" t="n"/>
      <c r="R183" s="74" t="n"/>
      <c r="S183" s="74" t="n"/>
      <c r="T183" s="67" t="n"/>
      <c r="U183" s="67" t="n"/>
      <c r="V183" s="67" t="n"/>
      <c r="W183" s="74" t="n"/>
      <c r="X183" s="67" t="n"/>
      <c r="Y183" s="67" t="n"/>
      <c r="Z183" s="67" t="n"/>
      <c r="AA183" s="67" t="n"/>
      <c r="AB183" s="67" t="n"/>
      <c r="AC183" s="67" t="n"/>
      <c r="AD183" s="67" t="n"/>
      <c r="AE183" s="67" t="n"/>
      <c r="AF183" s="67" t="n"/>
      <c r="AG183" s="67" t="n"/>
      <c r="AH183" s="67" t="n"/>
    </row>
    <row r="184" ht="14.25" customHeight="1">
      <c r="A184" s="70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74" t="n"/>
      <c r="R184" s="74" t="n"/>
      <c r="S184" s="74" t="n"/>
      <c r="T184" s="67" t="n"/>
      <c r="U184" s="67" t="n"/>
      <c r="V184" s="67" t="n"/>
      <c r="W184" s="74" t="n"/>
      <c r="X184" s="67" t="n"/>
      <c r="Y184" s="67" t="n"/>
      <c r="Z184" s="67" t="n"/>
      <c r="AA184" s="67" t="n"/>
      <c r="AB184" s="67" t="n"/>
      <c r="AC184" s="67" t="n"/>
      <c r="AD184" s="67" t="n"/>
      <c r="AE184" s="67" t="n"/>
      <c r="AF184" s="67" t="n"/>
      <c r="AG184" s="67" t="n"/>
      <c r="AH184" s="67" t="n"/>
    </row>
    <row r="185" ht="14.25" customHeight="1">
      <c r="A185" s="70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74" t="n"/>
      <c r="R185" s="74" t="n"/>
      <c r="S185" s="74" t="n"/>
      <c r="T185" s="67" t="n"/>
      <c r="U185" s="67" t="n"/>
      <c r="V185" s="67" t="n"/>
      <c r="W185" s="74" t="n"/>
      <c r="X185" s="67" t="n"/>
      <c r="Y185" s="67" t="n"/>
      <c r="Z185" s="67" t="n"/>
      <c r="AA185" s="67" t="n"/>
      <c r="AB185" s="67" t="n"/>
      <c r="AC185" s="67" t="n"/>
      <c r="AD185" s="67" t="n"/>
      <c r="AE185" s="67" t="n"/>
      <c r="AF185" s="67" t="n"/>
      <c r="AG185" s="67" t="n"/>
      <c r="AH185" s="67" t="n"/>
    </row>
    <row r="186" ht="14.25" customHeight="1">
      <c r="A186" s="70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74" t="n"/>
      <c r="R186" s="74" t="n"/>
      <c r="S186" s="74" t="n"/>
      <c r="T186" s="67" t="n"/>
      <c r="U186" s="67" t="n"/>
      <c r="V186" s="67" t="n"/>
      <c r="W186" s="74" t="n"/>
      <c r="X186" s="67" t="n"/>
      <c r="Y186" s="67" t="n"/>
      <c r="Z186" s="67" t="n"/>
      <c r="AA186" s="67" t="n"/>
      <c r="AB186" s="67" t="n"/>
      <c r="AC186" s="67" t="n"/>
      <c r="AD186" s="67" t="n"/>
      <c r="AE186" s="67" t="n"/>
      <c r="AF186" s="67" t="n"/>
      <c r="AG186" s="67" t="n"/>
      <c r="AH186" s="67" t="n"/>
    </row>
    <row r="187" ht="14.25" customHeight="1">
      <c r="A187" s="70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74" t="n"/>
      <c r="R187" s="74" t="n"/>
      <c r="S187" s="74" t="n"/>
      <c r="T187" s="67" t="n"/>
      <c r="U187" s="67" t="n"/>
      <c r="V187" s="67" t="n"/>
      <c r="W187" s="74" t="n"/>
      <c r="X187" s="67" t="n"/>
      <c r="Y187" s="67" t="n"/>
      <c r="Z187" s="67" t="n"/>
      <c r="AA187" s="67" t="n"/>
      <c r="AB187" s="67" t="n"/>
      <c r="AC187" s="67" t="n"/>
      <c r="AD187" s="67" t="n"/>
      <c r="AE187" s="67" t="n"/>
      <c r="AF187" s="67" t="n"/>
      <c r="AG187" s="67" t="n"/>
      <c r="AH187" s="67" t="n"/>
    </row>
    <row r="188" ht="14.25" customHeight="1">
      <c r="A188" s="70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74" t="n"/>
      <c r="R188" s="74" t="n"/>
      <c r="S188" s="74" t="n"/>
      <c r="T188" s="67" t="n"/>
      <c r="U188" s="67" t="n"/>
      <c r="V188" s="67" t="n"/>
      <c r="W188" s="74" t="n"/>
      <c r="X188" s="67" t="n"/>
      <c r="Y188" s="67" t="n"/>
      <c r="Z188" s="67" t="n"/>
      <c r="AA188" s="67" t="n"/>
      <c r="AB188" s="67" t="n"/>
      <c r="AC188" s="67" t="n"/>
      <c r="AD188" s="67" t="n"/>
      <c r="AE188" s="67" t="n"/>
      <c r="AF188" s="67" t="n"/>
      <c r="AG188" s="67" t="n"/>
      <c r="AH188" s="67" t="n"/>
    </row>
    <row r="189" ht="14.25" customHeight="1">
      <c r="A189" s="70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74" t="n"/>
      <c r="R189" s="74" t="n"/>
      <c r="S189" s="74" t="n"/>
      <c r="T189" s="67" t="n"/>
      <c r="U189" s="67" t="n"/>
      <c r="V189" s="67" t="n"/>
      <c r="W189" s="74" t="n"/>
      <c r="X189" s="67" t="n"/>
      <c r="Y189" s="67" t="n"/>
      <c r="Z189" s="67" t="n"/>
      <c r="AA189" s="67" t="n"/>
      <c r="AB189" s="67" t="n"/>
      <c r="AC189" s="67" t="n"/>
      <c r="AD189" s="67" t="n"/>
      <c r="AE189" s="67" t="n"/>
      <c r="AF189" s="67" t="n"/>
      <c r="AG189" s="67" t="n"/>
      <c r="AH189" s="67" t="n"/>
    </row>
    <row r="190" ht="14.25" customHeight="1">
      <c r="A190" s="70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74" t="n"/>
      <c r="R190" s="74" t="n"/>
      <c r="S190" s="74" t="n"/>
      <c r="T190" s="67" t="n"/>
      <c r="U190" s="67" t="n"/>
      <c r="V190" s="67" t="n"/>
      <c r="W190" s="74" t="n"/>
      <c r="X190" s="67" t="n"/>
      <c r="Y190" s="67" t="n"/>
      <c r="Z190" s="67" t="n"/>
      <c r="AA190" s="67" t="n"/>
      <c r="AB190" s="67" t="n"/>
      <c r="AC190" s="67" t="n"/>
      <c r="AD190" s="67" t="n"/>
      <c r="AE190" s="67" t="n"/>
      <c r="AF190" s="67" t="n"/>
      <c r="AG190" s="67" t="n"/>
      <c r="AH190" s="67" t="n"/>
    </row>
    <row r="191" ht="14.25" customHeight="1">
      <c r="A191" s="70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74" t="n"/>
      <c r="R191" s="74" t="n"/>
      <c r="S191" s="74" t="n"/>
      <c r="T191" s="67" t="n"/>
      <c r="U191" s="67" t="n"/>
      <c r="V191" s="67" t="n"/>
      <c r="W191" s="74" t="n"/>
      <c r="X191" s="67" t="n"/>
      <c r="Y191" s="67" t="n"/>
      <c r="Z191" s="67" t="n"/>
      <c r="AA191" s="67" t="n"/>
      <c r="AB191" s="67" t="n"/>
      <c r="AC191" s="67" t="n"/>
      <c r="AD191" s="67" t="n"/>
      <c r="AE191" s="67" t="n"/>
      <c r="AF191" s="67" t="n"/>
      <c r="AG191" s="67" t="n"/>
      <c r="AH191" s="67" t="n"/>
    </row>
    <row r="192" ht="14.25" customHeight="1">
      <c r="A192" s="70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74" t="n"/>
      <c r="R192" s="74" t="n"/>
      <c r="S192" s="74" t="n"/>
      <c r="T192" s="67" t="n"/>
      <c r="U192" s="67" t="n"/>
      <c r="V192" s="67" t="n"/>
      <c r="W192" s="74" t="n"/>
      <c r="X192" s="67" t="n"/>
      <c r="Y192" s="67" t="n"/>
      <c r="Z192" s="67" t="n"/>
      <c r="AA192" s="67" t="n"/>
      <c r="AB192" s="67" t="n"/>
      <c r="AC192" s="67" t="n"/>
      <c r="AD192" s="67" t="n"/>
      <c r="AE192" s="67" t="n"/>
      <c r="AF192" s="67" t="n"/>
      <c r="AG192" s="67" t="n"/>
      <c r="AH192" s="67" t="n"/>
    </row>
    <row r="193" ht="14.25" customHeight="1">
      <c r="A193" s="70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74" t="n"/>
      <c r="R193" s="74" t="n"/>
      <c r="S193" s="74" t="n"/>
      <c r="T193" s="67" t="n"/>
      <c r="U193" s="67" t="n"/>
      <c r="V193" s="67" t="n"/>
      <c r="W193" s="74" t="n"/>
      <c r="X193" s="67" t="n"/>
      <c r="Y193" s="67" t="n"/>
      <c r="Z193" s="67" t="n"/>
      <c r="AA193" s="67" t="n"/>
      <c r="AB193" s="67" t="n"/>
      <c r="AC193" s="67" t="n"/>
      <c r="AD193" s="67" t="n"/>
      <c r="AE193" s="67" t="n"/>
      <c r="AF193" s="67" t="n"/>
      <c r="AG193" s="67" t="n"/>
      <c r="AH193" s="67" t="n"/>
    </row>
    <row r="194" ht="14.25" customHeight="1">
      <c r="A194" s="70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74" t="n"/>
      <c r="R194" s="74" t="n"/>
      <c r="S194" s="74" t="n"/>
      <c r="T194" s="67" t="n"/>
      <c r="U194" s="67" t="n"/>
      <c r="V194" s="67" t="n"/>
      <c r="W194" s="74" t="n"/>
      <c r="X194" s="67" t="n"/>
      <c r="Y194" s="67" t="n"/>
      <c r="Z194" s="67" t="n"/>
      <c r="AA194" s="67" t="n"/>
      <c r="AB194" s="67" t="n"/>
      <c r="AC194" s="67" t="n"/>
      <c r="AD194" s="67" t="n"/>
      <c r="AE194" s="67" t="n"/>
      <c r="AF194" s="67" t="n"/>
      <c r="AG194" s="67" t="n"/>
      <c r="AH194" s="67" t="n"/>
    </row>
    <row r="195" ht="14.25" customHeight="1">
      <c r="A195" s="70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74" t="n"/>
      <c r="R195" s="74" t="n"/>
      <c r="S195" s="74" t="n"/>
      <c r="T195" s="67" t="n"/>
      <c r="U195" s="67" t="n"/>
      <c r="V195" s="67" t="n"/>
      <c r="W195" s="74" t="n"/>
      <c r="X195" s="67" t="n"/>
      <c r="Y195" s="67" t="n"/>
      <c r="Z195" s="67" t="n"/>
      <c r="AA195" s="67" t="n"/>
      <c r="AB195" s="67" t="n"/>
      <c r="AC195" s="67" t="n"/>
      <c r="AD195" s="67" t="n"/>
      <c r="AE195" s="67" t="n"/>
      <c r="AF195" s="67" t="n"/>
      <c r="AG195" s="67" t="n"/>
      <c r="AH195" s="67" t="n"/>
    </row>
    <row r="196" ht="14.25" customHeight="1">
      <c r="A196" s="70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74" t="n"/>
      <c r="R196" s="74" t="n"/>
      <c r="S196" s="74" t="n"/>
      <c r="T196" s="67" t="n"/>
      <c r="U196" s="67" t="n"/>
      <c r="V196" s="67" t="n"/>
      <c r="W196" s="74" t="n"/>
      <c r="X196" s="67" t="n"/>
      <c r="Y196" s="67" t="n"/>
      <c r="Z196" s="67" t="n"/>
      <c r="AA196" s="67" t="n"/>
      <c r="AB196" s="67" t="n"/>
      <c r="AC196" s="67" t="n"/>
      <c r="AD196" s="67" t="n"/>
      <c r="AE196" s="67" t="n"/>
      <c r="AF196" s="67" t="n"/>
      <c r="AG196" s="67" t="n"/>
      <c r="AH196" s="67" t="n"/>
    </row>
    <row r="197" ht="14.25" customHeight="1">
      <c r="A197" s="70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74" t="n"/>
      <c r="R197" s="74" t="n"/>
      <c r="S197" s="74" t="n"/>
      <c r="T197" s="67" t="n"/>
      <c r="U197" s="67" t="n"/>
      <c r="V197" s="67" t="n"/>
      <c r="W197" s="74" t="n"/>
      <c r="X197" s="67" t="n"/>
      <c r="Y197" s="67" t="n"/>
      <c r="Z197" s="67" t="n"/>
      <c r="AA197" s="67" t="n"/>
      <c r="AB197" s="67" t="n"/>
      <c r="AC197" s="67" t="n"/>
      <c r="AD197" s="67" t="n"/>
      <c r="AE197" s="67" t="n"/>
      <c r="AF197" s="67" t="n"/>
      <c r="AG197" s="67" t="n"/>
      <c r="AH197" s="67" t="n"/>
    </row>
    <row r="198" ht="14.25" customHeight="1">
      <c r="A198" s="70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74" t="n"/>
      <c r="R198" s="74" t="n"/>
      <c r="S198" s="74" t="n"/>
      <c r="T198" s="67" t="n"/>
      <c r="U198" s="67" t="n"/>
      <c r="V198" s="67" t="n"/>
      <c r="W198" s="74" t="n"/>
      <c r="X198" s="67" t="n"/>
      <c r="Y198" s="67" t="n"/>
      <c r="Z198" s="67" t="n"/>
      <c r="AA198" s="67" t="n"/>
      <c r="AB198" s="67" t="n"/>
      <c r="AC198" s="67" t="n"/>
      <c r="AD198" s="67" t="n"/>
      <c r="AE198" s="67" t="n"/>
      <c r="AF198" s="67" t="n"/>
      <c r="AG198" s="67" t="n"/>
      <c r="AH198" s="67" t="n"/>
    </row>
    <row r="199" ht="14.25" customHeight="1">
      <c r="A199" s="70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74" t="n"/>
      <c r="R199" s="74" t="n"/>
      <c r="S199" s="74" t="n"/>
      <c r="T199" s="67" t="n"/>
      <c r="U199" s="67" t="n"/>
      <c r="V199" s="67" t="n"/>
      <c r="W199" s="74" t="n"/>
      <c r="X199" s="67" t="n"/>
      <c r="Y199" s="67" t="n"/>
      <c r="Z199" s="67" t="n"/>
      <c r="AA199" s="67" t="n"/>
      <c r="AB199" s="67" t="n"/>
      <c r="AC199" s="67" t="n"/>
      <c r="AD199" s="67" t="n"/>
      <c r="AE199" s="67" t="n"/>
      <c r="AF199" s="67" t="n"/>
      <c r="AG199" s="67" t="n"/>
      <c r="AH199" s="67" t="n"/>
    </row>
    <row r="200" ht="14.25" customHeight="1">
      <c r="A200" s="70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74" t="n"/>
      <c r="R200" s="74" t="n"/>
      <c r="S200" s="74" t="n"/>
      <c r="T200" s="67" t="n"/>
      <c r="U200" s="67" t="n"/>
      <c r="V200" s="67" t="n"/>
      <c r="W200" s="74" t="n"/>
      <c r="X200" s="67" t="n"/>
      <c r="Y200" s="67" t="n"/>
      <c r="Z200" s="67" t="n"/>
      <c r="AA200" s="67" t="n"/>
      <c r="AB200" s="67" t="n"/>
      <c r="AC200" s="67" t="n"/>
      <c r="AD200" s="67" t="n"/>
      <c r="AE200" s="67" t="n"/>
      <c r="AF200" s="67" t="n"/>
      <c r="AG200" s="67" t="n"/>
      <c r="AH200" s="67" t="n"/>
    </row>
    <row r="201" ht="14.25" customHeight="1">
      <c r="A201" s="70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74" t="n"/>
      <c r="R201" s="74" t="n"/>
      <c r="S201" s="74" t="n"/>
      <c r="T201" s="67" t="n"/>
      <c r="U201" s="67" t="n"/>
      <c r="V201" s="67" t="n"/>
      <c r="W201" s="74" t="n"/>
      <c r="X201" s="67" t="n"/>
      <c r="Y201" s="67" t="n"/>
      <c r="Z201" s="67" t="n"/>
      <c r="AA201" s="67" t="n"/>
      <c r="AB201" s="67" t="n"/>
      <c r="AC201" s="67" t="n"/>
      <c r="AD201" s="67" t="n"/>
      <c r="AE201" s="67" t="n"/>
      <c r="AF201" s="67" t="n"/>
      <c r="AG201" s="67" t="n"/>
      <c r="AH201" s="67" t="n"/>
    </row>
    <row r="202" ht="14.25" customHeight="1">
      <c r="A202" s="70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74" t="n"/>
      <c r="R202" s="74" t="n"/>
      <c r="S202" s="74" t="n"/>
      <c r="T202" s="67" t="n"/>
      <c r="U202" s="67" t="n"/>
      <c r="V202" s="67" t="n"/>
      <c r="W202" s="74" t="n"/>
      <c r="X202" s="67" t="n"/>
      <c r="Y202" s="67" t="n"/>
      <c r="Z202" s="67" t="n"/>
      <c r="AA202" s="67" t="n"/>
      <c r="AB202" s="67" t="n"/>
      <c r="AC202" s="67" t="n"/>
      <c r="AD202" s="67" t="n"/>
      <c r="AE202" s="67" t="n"/>
      <c r="AF202" s="67" t="n"/>
      <c r="AG202" s="67" t="n"/>
      <c r="AH202" s="67" t="n"/>
    </row>
    <row r="203" ht="14.25" customHeight="1">
      <c r="A203" s="70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74" t="n"/>
      <c r="R203" s="74" t="n"/>
      <c r="S203" s="74" t="n"/>
      <c r="T203" s="67" t="n"/>
      <c r="U203" s="67" t="n"/>
      <c r="V203" s="67" t="n"/>
      <c r="W203" s="74" t="n"/>
      <c r="X203" s="67" t="n"/>
      <c r="Y203" s="67" t="n"/>
      <c r="Z203" s="67" t="n"/>
      <c r="AA203" s="67" t="n"/>
      <c r="AB203" s="67" t="n"/>
      <c r="AC203" s="67" t="n"/>
      <c r="AD203" s="67" t="n"/>
      <c r="AE203" s="67" t="n"/>
      <c r="AF203" s="67" t="n"/>
      <c r="AG203" s="67" t="n"/>
      <c r="AH203" s="67" t="n"/>
    </row>
    <row r="204" ht="14.25" customHeight="1">
      <c r="A204" s="70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74" t="n"/>
      <c r="R204" s="74" t="n"/>
      <c r="S204" s="74" t="n"/>
      <c r="T204" s="67" t="n"/>
      <c r="U204" s="67" t="n"/>
      <c r="V204" s="67" t="n"/>
      <c r="W204" s="74" t="n"/>
      <c r="X204" s="67" t="n"/>
      <c r="Y204" s="67" t="n"/>
      <c r="Z204" s="67" t="n"/>
      <c r="AA204" s="67" t="n"/>
      <c r="AB204" s="67" t="n"/>
      <c r="AC204" s="67" t="n"/>
      <c r="AD204" s="67" t="n"/>
      <c r="AE204" s="67" t="n"/>
      <c r="AF204" s="67" t="n"/>
      <c r="AG204" s="67" t="n"/>
      <c r="AH204" s="67" t="n"/>
    </row>
    <row r="205" ht="14.25" customHeight="1">
      <c r="A205" s="70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74" t="n"/>
      <c r="R205" s="74" t="n"/>
      <c r="S205" s="74" t="n"/>
      <c r="T205" s="67" t="n"/>
      <c r="U205" s="67" t="n"/>
      <c r="V205" s="67" t="n"/>
      <c r="W205" s="74" t="n"/>
      <c r="X205" s="67" t="n"/>
      <c r="Y205" s="67" t="n"/>
      <c r="Z205" s="67" t="n"/>
      <c r="AA205" s="67" t="n"/>
      <c r="AB205" s="67" t="n"/>
      <c r="AC205" s="67" t="n"/>
      <c r="AD205" s="67" t="n"/>
      <c r="AE205" s="67" t="n"/>
      <c r="AF205" s="67" t="n"/>
      <c r="AG205" s="67" t="n"/>
      <c r="AH205" s="67" t="n"/>
    </row>
    <row r="206" ht="14.25" customHeight="1">
      <c r="A206" s="70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74" t="n"/>
      <c r="R206" s="74" t="n"/>
      <c r="S206" s="74" t="n"/>
      <c r="T206" s="67" t="n"/>
      <c r="U206" s="67" t="n"/>
      <c r="V206" s="67" t="n"/>
      <c r="W206" s="74" t="n"/>
      <c r="X206" s="67" t="n"/>
      <c r="Y206" s="67" t="n"/>
      <c r="Z206" s="67" t="n"/>
      <c r="AA206" s="67" t="n"/>
      <c r="AB206" s="67" t="n"/>
      <c r="AC206" s="67" t="n"/>
      <c r="AD206" s="67" t="n"/>
      <c r="AE206" s="67" t="n"/>
      <c r="AF206" s="67" t="n"/>
      <c r="AG206" s="67" t="n"/>
      <c r="AH206" s="67" t="n"/>
    </row>
    <row r="207" ht="14.25" customHeight="1">
      <c r="A207" s="70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74" t="n"/>
      <c r="R207" s="74" t="n"/>
      <c r="S207" s="74" t="n"/>
      <c r="T207" s="67" t="n"/>
      <c r="U207" s="67" t="n"/>
      <c r="V207" s="67" t="n"/>
      <c r="W207" s="74" t="n"/>
      <c r="X207" s="67" t="n"/>
      <c r="Y207" s="67" t="n"/>
      <c r="Z207" s="67" t="n"/>
      <c r="AA207" s="67" t="n"/>
      <c r="AB207" s="67" t="n"/>
      <c r="AC207" s="67" t="n"/>
      <c r="AD207" s="67" t="n"/>
      <c r="AE207" s="67" t="n"/>
      <c r="AF207" s="67" t="n"/>
      <c r="AG207" s="67" t="n"/>
      <c r="AH207" s="67" t="n"/>
    </row>
    <row r="208" ht="14.25" customHeight="1">
      <c r="A208" s="70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74" t="n"/>
      <c r="R208" s="74" t="n"/>
      <c r="S208" s="74" t="n"/>
      <c r="T208" s="67" t="n"/>
      <c r="U208" s="67" t="n"/>
      <c r="V208" s="67" t="n"/>
      <c r="W208" s="74" t="n"/>
      <c r="X208" s="67" t="n"/>
      <c r="Y208" s="67" t="n"/>
      <c r="Z208" s="67" t="n"/>
      <c r="AA208" s="67" t="n"/>
      <c r="AB208" s="67" t="n"/>
      <c r="AC208" s="67" t="n"/>
      <c r="AD208" s="67" t="n"/>
      <c r="AE208" s="67" t="n"/>
      <c r="AF208" s="67" t="n"/>
      <c r="AG208" s="67" t="n"/>
      <c r="AH208" s="67" t="n"/>
    </row>
    <row r="209" ht="14.25" customHeight="1">
      <c r="A209" s="70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74" t="n"/>
      <c r="R209" s="74" t="n"/>
      <c r="S209" s="74" t="n"/>
      <c r="T209" s="67" t="n"/>
      <c r="U209" s="67" t="n"/>
      <c r="V209" s="67" t="n"/>
      <c r="W209" s="74" t="n"/>
      <c r="X209" s="67" t="n"/>
      <c r="Y209" s="67" t="n"/>
      <c r="Z209" s="67" t="n"/>
      <c r="AA209" s="67" t="n"/>
      <c r="AB209" s="67" t="n"/>
      <c r="AC209" s="67" t="n"/>
      <c r="AD209" s="67" t="n"/>
      <c r="AE209" s="67" t="n"/>
      <c r="AF209" s="67" t="n"/>
      <c r="AG209" s="67" t="n"/>
      <c r="AH209" s="67" t="n"/>
    </row>
    <row r="210" ht="14.25" customHeight="1">
      <c r="A210" s="70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74" t="n"/>
      <c r="R210" s="74" t="n"/>
      <c r="S210" s="74" t="n"/>
      <c r="T210" s="67" t="n"/>
      <c r="U210" s="67" t="n"/>
      <c r="V210" s="67" t="n"/>
      <c r="W210" s="74" t="n"/>
      <c r="X210" s="67" t="n"/>
      <c r="Y210" s="67" t="n"/>
      <c r="Z210" s="67" t="n"/>
      <c r="AA210" s="67" t="n"/>
      <c r="AB210" s="67" t="n"/>
      <c r="AC210" s="67" t="n"/>
      <c r="AD210" s="67" t="n"/>
      <c r="AE210" s="67" t="n"/>
      <c r="AF210" s="67" t="n"/>
      <c r="AG210" s="67" t="n"/>
      <c r="AH210" s="67" t="n"/>
    </row>
    <row r="211" ht="14.25" customHeight="1">
      <c r="A211" s="70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74" t="n"/>
      <c r="R211" s="74" t="n"/>
      <c r="S211" s="74" t="n"/>
      <c r="T211" s="67" t="n"/>
      <c r="U211" s="67" t="n"/>
      <c r="V211" s="67" t="n"/>
      <c r="W211" s="74" t="n"/>
      <c r="X211" s="67" t="n"/>
      <c r="Y211" s="67" t="n"/>
      <c r="Z211" s="67" t="n"/>
      <c r="AA211" s="67" t="n"/>
      <c r="AB211" s="67" t="n"/>
      <c r="AC211" s="67" t="n"/>
      <c r="AD211" s="67" t="n"/>
      <c r="AE211" s="67" t="n"/>
      <c r="AF211" s="67" t="n"/>
      <c r="AG211" s="67" t="n"/>
      <c r="AH211" s="67" t="n"/>
    </row>
    <row r="212" ht="14.25" customHeight="1">
      <c r="A212" s="70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74" t="n"/>
      <c r="R212" s="74" t="n"/>
      <c r="S212" s="74" t="n"/>
      <c r="T212" s="67" t="n"/>
      <c r="U212" s="67" t="n"/>
      <c r="V212" s="67" t="n"/>
      <c r="W212" s="74" t="n"/>
      <c r="X212" s="67" t="n"/>
      <c r="Y212" s="67" t="n"/>
      <c r="Z212" s="67" t="n"/>
      <c r="AA212" s="67" t="n"/>
      <c r="AB212" s="67" t="n"/>
      <c r="AC212" s="67" t="n"/>
      <c r="AD212" s="67" t="n"/>
      <c r="AE212" s="67" t="n"/>
      <c r="AF212" s="67" t="n"/>
      <c r="AG212" s="67" t="n"/>
      <c r="AH212" s="67" t="n"/>
    </row>
    <row r="213" ht="14.25" customHeight="1">
      <c r="A213" s="70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74" t="n"/>
      <c r="R213" s="74" t="n"/>
      <c r="S213" s="74" t="n"/>
      <c r="T213" s="67" t="n"/>
      <c r="U213" s="67" t="n"/>
      <c r="V213" s="67" t="n"/>
      <c r="W213" s="74" t="n"/>
      <c r="X213" s="67" t="n"/>
      <c r="Y213" s="67" t="n"/>
      <c r="Z213" s="67" t="n"/>
      <c r="AA213" s="67" t="n"/>
      <c r="AB213" s="67" t="n"/>
      <c r="AC213" s="67" t="n"/>
      <c r="AD213" s="67" t="n"/>
      <c r="AE213" s="67" t="n"/>
      <c r="AF213" s="67" t="n"/>
      <c r="AG213" s="67" t="n"/>
      <c r="AH213" s="67" t="n"/>
    </row>
    <row r="214" ht="14.25" customHeight="1">
      <c r="A214" s="70" t="n"/>
      <c r="B214" s="67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74" t="n"/>
      <c r="R214" s="74" t="n"/>
      <c r="S214" s="74" t="n"/>
      <c r="T214" s="67" t="n"/>
      <c r="U214" s="67" t="n"/>
      <c r="V214" s="67" t="n"/>
      <c r="W214" s="74" t="n"/>
      <c r="X214" s="67" t="n"/>
      <c r="Y214" s="67" t="n"/>
      <c r="Z214" s="67" t="n"/>
      <c r="AA214" s="67" t="n"/>
      <c r="AB214" s="67" t="n"/>
      <c r="AC214" s="67" t="n"/>
      <c r="AD214" s="67" t="n"/>
      <c r="AE214" s="67" t="n"/>
      <c r="AF214" s="67" t="n"/>
      <c r="AG214" s="67" t="n"/>
      <c r="AH214" s="67" t="n"/>
    </row>
    <row r="215" ht="14.25" customHeight="1">
      <c r="A215" s="70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74" t="n"/>
      <c r="R215" s="74" t="n"/>
      <c r="S215" s="74" t="n"/>
      <c r="T215" s="67" t="n"/>
      <c r="U215" s="67" t="n"/>
      <c r="V215" s="67" t="n"/>
      <c r="W215" s="74" t="n"/>
      <c r="X215" s="67" t="n"/>
      <c r="Y215" s="67" t="n"/>
      <c r="Z215" s="67" t="n"/>
      <c r="AA215" s="67" t="n"/>
      <c r="AB215" s="67" t="n"/>
      <c r="AC215" s="67" t="n"/>
      <c r="AD215" s="67" t="n"/>
      <c r="AE215" s="67" t="n"/>
      <c r="AF215" s="67" t="n"/>
      <c r="AG215" s="67" t="n"/>
      <c r="AH215" s="67" t="n"/>
    </row>
    <row r="216" ht="14.25" customHeight="1">
      <c r="A216" s="70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74" t="n"/>
      <c r="R216" s="74" t="n"/>
      <c r="S216" s="74" t="n"/>
      <c r="T216" s="67" t="n"/>
      <c r="U216" s="67" t="n"/>
      <c r="V216" s="67" t="n"/>
      <c r="W216" s="74" t="n"/>
      <c r="X216" s="67" t="n"/>
      <c r="Y216" s="67" t="n"/>
      <c r="Z216" s="67" t="n"/>
      <c r="AA216" s="67" t="n"/>
      <c r="AB216" s="67" t="n"/>
      <c r="AC216" s="67" t="n"/>
      <c r="AD216" s="67" t="n"/>
      <c r="AE216" s="67" t="n"/>
      <c r="AF216" s="67" t="n"/>
      <c r="AG216" s="67" t="n"/>
      <c r="AH216" s="67" t="n"/>
    </row>
    <row r="217" ht="14.25" customHeight="1">
      <c r="A217" s="70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74" t="n"/>
      <c r="R217" s="74" t="n"/>
      <c r="S217" s="74" t="n"/>
      <c r="T217" s="67" t="n"/>
      <c r="U217" s="67" t="n"/>
      <c r="V217" s="67" t="n"/>
      <c r="W217" s="74" t="n"/>
      <c r="X217" s="67" t="n"/>
      <c r="Y217" s="67" t="n"/>
      <c r="Z217" s="67" t="n"/>
      <c r="AA217" s="67" t="n"/>
      <c r="AB217" s="67" t="n"/>
      <c r="AC217" s="67" t="n"/>
      <c r="AD217" s="67" t="n"/>
      <c r="AE217" s="67" t="n"/>
      <c r="AF217" s="67" t="n"/>
      <c r="AG217" s="67" t="n"/>
      <c r="AH217" s="67" t="n"/>
    </row>
    <row r="218" ht="14.25" customHeight="1">
      <c r="A218" s="70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74" t="n"/>
      <c r="R218" s="74" t="n"/>
      <c r="S218" s="74" t="n"/>
      <c r="T218" s="67" t="n"/>
      <c r="U218" s="67" t="n"/>
      <c r="V218" s="67" t="n"/>
      <c r="W218" s="74" t="n"/>
      <c r="X218" s="67" t="n"/>
      <c r="Y218" s="67" t="n"/>
      <c r="Z218" s="67" t="n"/>
      <c r="AA218" s="67" t="n"/>
      <c r="AB218" s="67" t="n"/>
      <c r="AC218" s="67" t="n"/>
      <c r="AD218" s="67" t="n"/>
      <c r="AE218" s="67" t="n"/>
      <c r="AF218" s="67" t="n"/>
      <c r="AG218" s="67" t="n"/>
      <c r="AH218" s="67" t="n"/>
    </row>
    <row r="219" ht="14.25" customHeight="1">
      <c r="A219" s="70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74" t="n"/>
      <c r="R219" s="74" t="n"/>
      <c r="S219" s="74" t="n"/>
      <c r="T219" s="67" t="n"/>
      <c r="U219" s="67" t="n"/>
      <c r="V219" s="67" t="n"/>
      <c r="W219" s="74" t="n"/>
      <c r="X219" s="67" t="n"/>
      <c r="Y219" s="67" t="n"/>
      <c r="Z219" s="67" t="n"/>
      <c r="AA219" s="67" t="n"/>
      <c r="AB219" s="67" t="n"/>
      <c r="AC219" s="67" t="n"/>
      <c r="AD219" s="67" t="n"/>
      <c r="AE219" s="67" t="n"/>
      <c r="AF219" s="67" t="n"/>
      <c r="AG219" s="67" t="n"/>
      <c r="AH219" s="67" t="n"/>
    </row>
    <row r="220" ht="14.25" customHeight="1">
      <c r="A220" s="70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74" t="n"/>
      <c r="R220" s="74" t="n"/>
      <c r="S220" s="74" t="n"/>
      <c r="T220" s="67" t="n"/>
      <c r="U220" s="67" t="n"/>
      <c r="V220" s="67" t="n"/>
      <c r="W220" s="74" t="n"/>
      <c r="X220" s="67" t="n"/>
      <c r="Y220" s="67" t="n"/>
      <c r="Z220" s="67" t="n"/>
      <c r="AA220" s="67" t="n"/>
      <c r="AB220" s="67" t="n"/>
      <c r="AC220" s="67" t="n"/>
      <c r="AD220" s="67" t="n"/>
      <c r="AE220" s="67" t="n"/>
      <c r="AF220" s="67" t="n"/>
      <c r="AG220" s="67" t="n"/>
      <c r="AH220" s="67" t="n"/>
    </row>
    <row r="221" ht="14.25" customHeight="1">
      <c r="A221" s="70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74" t="n"/>
      <c r="R221" s="74" t="n"/>
      <c r="S221" s="74" t="n"/>
      <c r="T221" s="67" t="n"/>
      <c r="U221" s="67" t="n"/>
      <c r="V221" s="67" t="n"/>
      <c r="W221" s="74" t="n"/>
      <c r="X221" s="67" t="n"/>
      <c r="Y221" s="67" t="n"/>
      <c r="Z221" s="67" t="n"/>
      <c r="AA221" s="67" t="n"/>
      <c r="AB221" s="67" t="n"/>
      <c r="AC221" s="67" t="n"/>
      <c r="AD221" s="67" t="n"/>
      <c r="AE221" s="67" t="n"/>
      <c r="AF221" s="67" t="n"/>
      <c r="AG221" s="67" t="n"/>
      <c r="AH221" s="67" t="n"/>
    </row>
    <row r="222" ht="14.25" customHeight="1">
      <c r="A222" s="70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74" t="n"/>
      <c r="R222" s="74" t="n"/>
      <c r="S222" s="74" t="n"/>
      <c r="T222" s="67" t="n"/>
      <c r="U222" s="67" t="n"/>
      <c r="V222" s="67" t="n"/>
      <c r="W222" s="74" t="n"/>
      <c r="X222" s="67" t="n"/>
      <c r="Y222" s="67" t="n"/>
      <c r="Z222" s="67" t="n"/>
      <c r="AA222" s="67" t="n"/>
      <c r="AB222" s="67" t="n"/>
      <c r="AC222" s="67" t="n"/>
      <c r="AD222" s="67" t="n"/>
      <c r="AE222" s="67" t="n"/>
      <c r="AF222" s="67" t="n"/>
      <c r="AG222" s="67" t="n"/>
      <c r="AH222" s="67" t="n"/>
    </row>
    <row r="223" ht="14.25" customHeight="1">
      <c r="A223" s="70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74" t="n"/>
      <c r="R223" s="74" t="n"/>
      <c r="S223" s="74" t="n"/>
      <c r="T223" s="67" t="n"/>
      <c r="U223" s="67" t="n"/>
      <c r="V223" s="67" t="n"/>
      <c r="W223" s="74" t="n"/>
      <c r="X223" s="67" t="n"/>
      <c r="Y223" s="67" t="n"/>
      <c r="Z223" s="67" t="n"/>
      <c r="AA223" s="67" t="n"/>
      <c r="AB223" s="67" t="n"/>
      <c r="AC223" s="67" t="n"/>
      <c r="AD223" s="67" t="n"/>
      <c r="AE223" s="67" t="n"/>
      <c r="AF223" s="67" t="n"/>
      <c r="AG223" s="67" t="n"/>
      <c r="AH223" s="67" t="n"/>
    </row>
    <row r="224" ht="14.25" customHeight="1">
      <c r="A224" s="70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74" t="n"/>
      <c r="R224" s="74" t="n"/>
      <c r="S224" s="74" t="n"/>
      <c r="T224" s="67" t="n"/>
      <c r="U224" s="67" t="n"/>
      <c r="V224" s="67" t="n"/>
      <c r="W224" s="74" t="n"/>
      <c r="X224" s="67" t="n"/>
      <c r="Y224" s="67" t="n"/>
      <c r="Z224" s="67" t="n"/>
      <c r="AA224" s="67" t="n"/>
      <c r="AB224" s="67" t="n"/>
      <c r="AC224" s="67" t="n"/>
      <c r="AD224" s="67" t="n"/>
      <c r="AE224" s="67" t="n"/>
      <c r="AF224" s="67" t="n"/>
      <c r="AG224" s="67" t="n"/>
      <c r="AH224" s="67" t="n"/>
    </row>
    <row r="225" ht="14.25" customHeight="1">
      <c r="A225" s="70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74" t="n"/>
      <c r="R225" s="74" t="n"/>
      <c r="S225" s="74" t="n"/>
      <c r="T225" s="67" t="n"/>
      <c r="U225" s="67" t="n"/>
      <c r="V225" s="67" t="n"/>
      <c r="W225" s="74" t="n"/>
      <c r="X225" s="67" t="n"/>
      <c r="Y225" s="67" t="n"/>
      <c r="Z225" s="67" t="n"/>
      <c r="AA225" s="67" t="n"/>
      <c r="AB225" s="67" t="n"/>
      <c r="AC225" s="67" t="n"/>
      <c r="AD225" s="67" t="n"/>
      <c r="AE225" s="67" t="n"/>
      <c r="AF225" s="67" t="n"/>
      <c r="AG225" s="67" t="n"/>
      <c r="AH225" s="67" t="n"/>
    </row>
    <row r="226" ht="14.25" customHeight="1">
      <c r="A226" s="70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74" t="n"/>
      <c r="R226" s="74" t="n"/>
      <c r="S226" s="74" t="n"/>
      <c r="T226" s="67" t="n"/>
      <c r="U226" s="67" t="n"/>
      <c r="V226" s="67" t="n"/>
      <c r="W226" s="74" t="n"/>
      <c r="X226" s="67" t="n"/>
      <c r="Y226" s="67" t="n"/>
      <c r="Z226" s="67" t="n"/>
      <c r="AA226" s="67" t="n"/>
      <c r="AB226" s="67" t="n"/>
      <c r="AC226" s="67" t="n"/>
      <c r="AD226" s="67" t="n"/>
      <c r="AE226" s="67" t="n"/>
      <c r="AF226" s="67" t="n"/>
      <c r="AG226" s="67" t="n"/>
      <c r="AH226" s="67" t="n"/>
    </row>
    <row r="227" ht="14.25" customHeight="1">
      <c r="A227" s="7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74" t="n"/>
      <c r="R227" s="74" t="n"/>
      <c r="S227" s="74" t="n"/>
      <c r="T227" s="67" t="n"/>
      <c r="U227" s="67" t="n"/>
      <c r="V227" s="67" t="n"/>
      <c r="W227" s="74" t="n"/>
      <c r="X227" s="67" t="n"/>
      <c r="Y227" s="67" t="n"/>
      <c r="Z227" s="67" t="n"/>
      <c r="AA227" s="67" t="n"/>
      <c r="AB227" s="67" t="n"/>
      <c r="AC227" s="67" t="n"/>
      <c r="AD227" s="67" t="n"/>
      <c r="AE227" s="67" t="n"/>
      <c r="AF227" s="67" t="n"/>
      <c r="AG227" s="67" t="n"/>
      <c r="AH227" s="67" t="n"/>
    </row>
    <row r="228" ht="14.25" customHeight="1">
      <c r="A228" s="70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74" t="n"/>
      <c r="R228" s="74" t="n"/>
      <c r="S228" s="74" t="n"/>
      <c r="T228" s="67" t="n"/>
      <c r="U228" s="67" t="n"/>
      <c r="V228" s="67" t="n"/>
      <c r="W228" s="74" t="n"/>
      <c r="X228" s="67" t="n"/>
      <c r="Y228" s="67" t="n"/>
      <c r="Z228" s="67" t="n"/>
      <c r="AA228" s="67" t="n"/>
      <c r="AB228" s="67" t="n"/>
      <c r="AC228" s="67" t="n"/>
      <c r="AD228" s="67" t="n"/>
      <c r="AE228" s="67" t="n"/>
      <c r="AF228" s="67" t="n"/>
      <c r="AG228" s="67" t="n"/>
      <c r="AH228" s="67" t="n"/>
    </row>
    <row r="229" ht="14.25" customHeight="1">
      <c r="A229" s="70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74" t="n"/>
      <c r="R229" s="74" t="n"/>
      <c r="S229" s="74" t="n"/>
      <c r="T229" s="67" t="n"/>
      <c r="U229" s="67" t="n"/>
      <c r="V229" s="67" t="n"/>
      <c r="W229" s="74" t="n"/>
      <c r="X229" s="67" t="n"/>
      <c r="Y229" s="67" t="n"/>
      <c r="Z229" s="67" t="n"/>
      <c r="AA229" s="67" t="n"/>
      <c r="AB229" s="67" t="n"/>
      <c r="AC229" s="67" t="n"/>
      <c r="AD229" s="67" t="n"/>
      <c r="AE229" s="67" t="n"/>
      <c r="AF229" s="67" t="n"/>
      <c r="AG229" s="67" t="n"/>
      <c r="AH229" s="67" t="n"/>
    </row>
    <row r="230" ht="14.25" customHeight="1">
      <c r="A230" s="70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74" t="n"/>
      <c r="R230" s="74" t="n"/>
      <c r="S230" s="74" t="n"/>
      <c r="T230" s="67" t="n"/>
      <c r="U230" s="67" t="n"/>
      <c r="V230" s="67" t="n"/>
      <c r="W230" s="74" t="n"/>
      <c r="X230" s="67" t="n"/>
      <c r="Y230" s="67" t="n"/>
      <c r="Z230" s="67" t="n"/>
      <c r="AA230" s="67" t="n"/>
      <c r="AB230" s="67" t="n"/>
      <c r="AC230" s="67" t="n"/>
      <c r="AD230" s="67" t="n"/>
      <c r="AE230" s="67" t="n"/>
      <c r="AF230" s="67" t="n"/>
      <c r="AG230" s="67" t="n"/>
      <c r="AH230" s="67" t="n"/>
    </row>
    <row r="231" ht="15.75" customHeight="1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</row>
    <row r="232" ht="15.75" customHeight="1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</row>
    <row r="233" ht="15.75" customHeight="1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</row>
    <row r="234" ht="15.75" customHeight="1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</row>
    <row r="235" ht="15.75" customHeight="1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</row>
    <row r="236" ht="15.75" customHeight="1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</row>
    <row r="237" ht="15.75" customHeight="1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</row>
    <row r="238" ht="15.75" customHeight="1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</row>
    <row r="239" ht="15.75" customHeight="1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</row>
    <row r="240" ht="15.75" customHeight="1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</row>
    <row r="241" ht="15.75" customHeight="1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</row>
    <row r="242" ht="15.75" customHeight="1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</row>
    <row r="243" ht="15.75" customHeight="1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</row>
    <row r="244" ht="15.75" customHeight="1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</row>
    <row r="245" ht="15.75" customHeight="1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</row>
    <row r="246" ht="15.75" customHeight="1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</row>
    <row r="247" ht="15.75" customHeight="1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</row>
    <row r="248" ht="15.75" customHeight="1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</row>
    <row r="249" ht="15.75" customHeight="1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</row>
    <row r="250" ht="15.75" customHeight="1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</row>
    <row r="251" ht="15.75" customHeight="1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</row>
    <row r="252" ht="15.75" customHeight="1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</row>
    <row r="253" ht="15.75" customHeight="1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</row>
    <row r="254" ht="15.75" customHeight="1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</row>
    <row r="255" ht="15.75" customHeight="1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</row>
    <row r="256" ht="15.75" customHeight="1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</row>
    <row r="257" ht="15.75" customHeight="1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</row>
    <row r="258" ht="15.75" customHeight="1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</row>
    <row r="259" ht="15.75" customHeight="1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</row>
    <row r="260" ht="15.75" customHeight="1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</row>
    <row r="261" ht="15.75" customHeight="1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</row>
    <row r="262" ht="15.75" customHeight="1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</row>
    <row r="263" ht="15.75" customHeight="1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</row>
    <row r="264" ht="15.75" customHeight="1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</row>
    <row r="265" ht="15.75" customHeight="1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</row>
    <row r="266" ht="15.75" customHeight="1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</row>
    <row r="267" ht="15.75" customHeight="1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</row>
    <row r="268" ht="15.75" customHeight="1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</row>
    <row r="269" ht="15.75" customHeight="1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</row>
    <row r="270" ht="15.75" customHeight="1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</row>
    <row r="271" ht="15.75" customHeight="1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</row>
    <row r="272" ht="15.75" customHeight="1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</row>
    <row r="273" ht="15.75" customHeight="1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</row>
    <row r="274" ht="15.75" customHeight="1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</row>
    <row r="275" ht="15.75" customHeight="1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</row>
    <row r="276" ht="15.75" customHeight="1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</row>
    <row r="277" ht="15.75" customHeight="1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</row>
    <row r="278" ht="15.75" customHeight="1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</row>
    <row r="279" ht="15.75" customHeight="1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</row>
    <row r="280" ht="15.75" customHeight="1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</row>
    <row r="281" ht="15.75" customHeight="1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</row>
    <row r="282" ht="15.75" customHeight="1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</row>
    <row r="283" ht="15.75" customHeight="1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</row>
    <row r="284" ht="15.75" customHeight="1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</row>
    <row r="285" ht="15.75" customHeight="1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</row>
    <row r="286" ht="15.75" customHeight="1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</row>
    <row r="287" ht="15.75" customHeight="1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</row>
    <row r="288" ht="15.75" customHeight="1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</row>
    <row r="289" ht="15.75" customHeight="1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</row>
    <row r="290" ht="15.75" customHeight="1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</row>
    <row r="291" ht="15.75" customHeight="1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</row>
    <row r="292" ht="15.75" customHeight="1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</row>
    <row r="293" ht="15.75" customHeight="1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</row>
    <row r="294" ht="15.75" customHeight="1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</row>
    <row r="295" ht="15.75" customHeight="1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</row>
    <row r="296" ht="15.75" customHeight="1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</row>
    <row r="297" ht="15.75" customHeight="1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</row>
    <row r="298" ht="15.75" customHeight="1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</row>
    <row r="299" ht="15.75" customHeight="1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</row>
    <row r="300" ht="15.75" customHeight="1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</row>
    <row r="301" ht="15.75" customHeight="1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</row>
    <row r="302" ht="15.75" customHeight="1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</row>
    <row r="303" ht="15.75" customHeight="1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</row>
    <row r="304" ht="15.75" customHeight="1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</row>
    <row r="305" ht="15.75" customHeight="1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</row>
    <row r="306" ht="15.75" customHeight="1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</row>
    <row r="307" ht="15.75" customHeight="1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</row>
    <row r="308" ht="15.75" customHeight="1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</row>
    <row r="309" ht="15.75" customHeight="1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</row>
    <row r="310" ht="15.75" customHeight="1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</row>
    <row r="311" ht="15.75" customHeight="1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</row>
    <row r="312" ht="15.75" customHeight="1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</row>
    <row r="313" ht="15.75" customHeight="1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</row>
    <row r="314" ht="15.75" customHeight="1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</row>
    <row r="315" ht="15.75" customHeight="1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</row>
    <row r="316" ht="15.75" customHeight="1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</row>
    <row r="317" ht="15.75" customHeight="1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</row>
    <row r="318" ht="15.75" customHeight="1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</row>
    <row r="319" ht="15.75" customHeight="1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</row>
    <row r="320" ht="15.75" customHeight="1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</row>
    <row r="321" ht="15.75" customHeight="1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</row>
    <row r="322" ht="15.75" customHeight="1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</row>
    <row r="323" ht="15.75" customHeight="1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</row>
    <row r="324" ht="15.75" customHeight="1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</row>
    <row r="325" ht="15.75" customHeight="1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</row>
    <row r="326" ht="15.75" customHeight="1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</row>
    <row r="327" ht="15.75" customHeight="1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</row>
    <row r="328" ht="15.75" customHeight="1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</row>
    <row r="329" ht="15.75" customHeight="1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</row>
    <row r="330" ht="15.75" customHeight="1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</row>
    <row r="331" ht="15.75" customHeight="1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</row>
    <row r="332" ht="15.75" customHeight="1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</row>
    <row r="333" ht="15.75" customHeight="1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</row>
    <row r="334" ht="15.75" customHeight="1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</row>
    <row r="335" ht="15.75" customHeight="1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</row>
    <row r="336" ht="15.75" customHeight="1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</row>
    <row r="337" ht="15.75" customHeight="1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</row>
    <row r="338" ht="15.75" customHeight="1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</row>
    <row r="339" ht="15.75" customHeight="1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</row>
    <row r="340" ht="15.75" customHeight="1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</row>
    <row r="341" ht="15.75" customHeight="1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</row>
    <row r="342" ht="15.75" customHeight="1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</row>
    <row r="343" ht="15.75" customHeight="1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</row>
    <row r="344" ht="15.75" customHeight="1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</row>
    <row r="345" ht="15.75" customHeight="1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</row>
    <row r="346" ht="15.75" customHeight="1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</row>
    <row r="347" ht="15.75" customHeight="1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</row>
    <row r="348" ht="15.75" customHeight="1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</row>
    <row r="349" ht="15.75" customHeight="1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</row>
    <row r="350" ht="15.75" customHeight="1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</row>
    <row r="351" ht="15.75" customHeight="1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</row>
    <row r="352" ht="15.75" customHeight="1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</row>
    <row r="353" ht="15.75" customHeight="1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</row>
    <row r="354" ht="15.75" customHeight="1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</row>
    <row r="355" ht="15.75" customHeight="1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</row>
    <row r="356" ht="15.75" customHeight="1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</row>
    <row r="357" ht="15.75" customHeight="1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</row>
    <row r="358" ht="15.75" customHeight="1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</row>
    <row r="359" ht="15.75" customHeight="1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</row>
    <row r="360" ht="15.75" customHeight="1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</row>
    <row r="361" ht="15.75" customHeight="1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</row>
    <row r="362" ht="15.75" customHeight="1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</row>
    <row r="363" ht="15.75" customHeight="1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</row>
    <row r="364" ht="15.75" customHeight="1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</row>
    <row r="365" ht="15.75" customHeight="1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</row>
    <row r="366" ht="15.75" customHeight="1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</row>
    <row r="367" ht="15.75" customHeight="1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</row>
    <row r="368" ht="15.75" customHeight="1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</row>
    <row r="369" ht="15.75" customHeight="1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</row>
    <row r="370" ht="15.75" customHeight="1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</row>
    <row r="371" ht="15.75" customHeight="1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</row>
    <row r="372" ht="15.75" customHeight="1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</row>
    <row r="373" ht="15.75" customHeight="1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</row>
    <row r="374" ht="15.75" customHeight="1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</row>
    <row r="375" ht="15.75" customHeight="1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</row>
    <row r="376" ht="15.75" customHeight="1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</row>
    <row r="377" ht="15.75" customHeight="1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</row>
    <row r="378" ht="15.75" customHeight="1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</row>
    <row r="379" ht="15.75" customHeight="1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</row>
    <row r="380" ht="15.75" customHeight="1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</row>
    <row r="381" ht="15.75" customHeight="1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</row>
    <row r="382" ht="15.75" customHeight="1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</row>
    <row r="383" ht="15.75" customHeight="1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</row>
    <row r="384" ht="15.75" customHeight="1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</row>
    <row r="385" ht="15.75" customHeight="1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</row>
    <row r="386" ht="15.75" customHeight="1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</row>
    <row r="387" ht="15.75" customHeight="1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</row>
    <row r="388" ht="15.75" customHeight="1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</row>
    <row r="389" ht="15.75" customHeight="1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</row>
    <row r="390" ht="15.75" customHeight="1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</row>
    <row r="391" ht="15.75" customHeight="1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</row>
    <row r="392" ht="15.75" customHeight="1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</row>
    <row r="393" ht="15.75" customHeight="1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</row>
    <row r="394" ht="15.75" customHeight="1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</row>
    <row r="395" ht="15.75" customHeight="1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</row>
    <row r="396" ht="15.75" customHeight="1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</row>
    <row r="397" ht="15.75" customHeight="1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</row>
    <row r="398" ht="15.75" customHeight="1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</row>
    <row r="399" ht="15.75" customHeight="1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</row>
    <row r="400" ht="15.75" customHeight="1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</row>
    <row r="401" ht="15.75" customHeight="1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</row>
    <row r="402" ht="15.75" customHeight="1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</row>
    <row r="403" ht="15.75" customHeight="1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</row>
    <row r="404" ht="15.75" customHeight="1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</row>
    <row r="405" ht="15.75" customHeight="1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</row>
    <row r="406" ht="15.75" customHeight="1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</row>
    <row r="407" ht="15.75" customHeight="1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</row>
    <row r="408" ht="15.75" customHeight="1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</row>
    <row r="409" ht="15.75" customHeight="1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</row>
    <row r="410" ht="15.75" customHeight="1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</row>
    <row r="411" ht="15.75" customHeight="1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</row>
    <row r="412" ht="15.75" customHeight="1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</row>
    <row r="413" ht="15.75" customHeight="1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</row>
    <row r="414" ht="15.75" customHeight="1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</row>
    <row r="415" ht="15.75" customHeight="1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</row>
    <row r="416" ht="15.75" customHeight="1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</row>
    <row r="417" ht="15.75" customHeight="1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</row>
    <row r="418" ht="15.75" customHeight="1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</row>
    <row r="419" ht="15.75" customHeight="1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</row>
    <row r="420" ht="15.75" customHeight="1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</row>
    <row r="421" ht="15.75" customHeight="1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</row>
    <row r="422" ht="15.75" customHeight="1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</row>
    <row r="423" ht="15.75" customHeight="1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</row>
    <row r="424" ht="15.75" customHeight="1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</row>
    <row r="425" ht="15.75" customHeight="1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</row>
    <row r="426" ht="15.75" customHeight="1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</row>
    <row r="427" ht="15.75" customHeight="1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</row>
    <row r="428" ht="15.75" customHeight="1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</row>
    <row r="429" ht="15.75" customHeight="1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</row>
    <row r="430" ht="15.75" customHeight="1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</row>
    <row r="431" ht="15.75" customHeight="1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</row>
    <row r="432" ht="15.75" customHeight="1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</row>
    <row r="433" ht="15.75" customHeight="1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</row>
    <row r="434" ht="15.75" customHeight="1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</row>
    <row r="435" ht="15.75" customHeight="1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</row>
    <row r="436" ht="15.75" customHeight="1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</row>
    <row r="437" ht="15.75" customHeight="1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</row>
    <row r="438" ht="15.75" customHeight="1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</row>
    <row r="439" ht="15.75" customHeight="1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</row>
    <row r="440" ht="15.75" customHeight="1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</row>
    <row r="441" ht="15.75" customHeight="1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</row>
    <row r="442" ht="15.75" customHeight="1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</row>
    <row r="443" ht="15.75" customHeight="1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</row>
    <row r="444" ht="15.75" customHeight="1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</row>
    <row r="445" ht="15.75" customHeight="1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</row>
    <row r="446" ht="15.75" customHeight="1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</row>
    <row r="447" ht="15.75" customHeight="1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</row>
    <row r="448" ht="15.75" customHeight="1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</row>
    <row r="449" ht="15.75" customHeight="1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</row>
    <row r="450" ht="15.75" customHeight="1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</row>
    <row r="451" ht="15.75" customHeight="1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</row>
    <row r="452" ht="15.75" customHeight="1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</row>
    <row r="453" ht="15.75" customHeight="1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</row>
    <row r="454" ht="15.75" customHeight="1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</row>
    <row r="455" ht="15.75" customHeight="1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</row>
    <row r="456" ht="15.75" customHeight="1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</row>
    <row r="457" ht="15.75" customHeight="1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</row>
    <row r="458" ht="15.75" customHeight="1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</row>
    <row r="459" ht="15.75" customHeight="1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</row>
    <row r="460" ht="15.75" customHeight="1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</row>
    <row r="461" ht="15.75" customHeight="1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</row>
    <row r="462" ht="15.75" customHeight="1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</row>
    <row r="463" ht="15.75" customHeight="1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</row>
    <row r="464" ht="15.75" customHeight="1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</row>
    <row r="465" ht="15.75" customHeight="1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</row>
    <row r="466" ht="15.75" customHeight="1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</row>
    <row r="467" ht="15.75" customHeight="1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</row>
    <row r="468" ht="15.75" customHeight="1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</row>
    <row r="469" ht="15.75" customHeight="1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</row>
    <row r="470" ht="15.75" customHeight="1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</row>
    <row r="471" ht="15.75" customHeight="1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</row>
    <row r="472" ht="15.75" customHeight="1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</row>
    <row r="473" ht="15.75" customHeight="1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</row>
    <row r="474" ht="15.75" customHeight="1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</row>
    <row r="475" ht="15.75" customHeight="1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</row>
    <row r="476" ht="15.75" customHeight="1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</row>
    <row r="477" ht="15.75" customHeight="1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</row>
    <row r="478" ht="15.75" customHeight="1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</row>
    <row r="479" ht="15.75" customHeight="1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</row>
    <row r="480" ht="15.75" customHeight="1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</row>
    <row r="481" ht="15.75" customHeight="1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</row>
    <row r="482" ht="15.75" customHeight="1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</row>
    <row r="483" ht="15.75" customHeight="1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</row>
    <row r="484" ht="15.75" customHeight="1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</row>
    <row r="485" ht="15.75" customHeight="1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</row>
    <row r="486" ht="15.75" customHeight="1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</row>
    <row r="487" ht="15.75" customHeight="1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</row>
    <row r="488" ht="15.75" customHeight="1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</row>
    <row r="489" ht="15.75" customHeight="1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</row>
    <row r="490" ht="15.75" customHeight="1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</row>
    <row r="491" ht="15.75" customHeight="1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</row>
    <row r="492" ht="15.75" customHeight="1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</row>
    <row r="493" ht="15.75" customHeight="1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</row>
    <row r="494" ht="15.75" customHeight="1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</row>
    <row r="495" ht="15.75" customHeight="1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</row>
    <row r="496" ht="15.75" customHeight="1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</row>
    <row r="497" ht="15.75" customHeight="1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</row>
    <row r="498" ht="15.75" customHeight="1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</row>
    <row r="499" ht="15.75" customHeight="1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</row>
    <row r="500" ht="15.75" customHeight="1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</row>
    <row r="501" ht="15.75" customHeight="1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</row>
    <row r="502" ht="15.75" customHeight="1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</row>
    <row r="503" ht="15.75" customHeight="1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</row>
    <row r="504" ht="15.75" customHeight="1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</row>
    <row r="505" ht="15.75" customHeight="1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</row>
    <row r="506" ht="15.75" customHeight="1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</row>
    <row r="507" ht="15.75" customHeight="1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</row>
    <row r="508" ht="15.75" customHeight="1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</row>
    <row r="509" ht="15.75" customHeight="1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</row>
    <row r="510" ht="15.75" customHeight="1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</row>
    <row r="511" ht="15.75" customHeight="1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</row>
    <row r="512" ht="15.75" customHeight="1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</row>
    <row r="513" ht="15.75" customHeight="1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</row>
    <row r="514" ht="15.75" customHeight="1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</row>
    <row r="515" ht="15.75" customHeight="1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</row>
    <row r="516" ht="15.75" customHeight="1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</row>
    <row r="517" ht="15.75" customHeight="1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</row>
    <row r="518" ht="15.75" customHeight="1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</row>
    <row r="519" ht="15.75" customHeight="1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</row>
    <row r="520" ht="15.75" customHeight="1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</row>
    <row r="521" ht="15.75" customHeight="1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</row>
    <row r="522" ht="15.75" customHeight="1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  <c r="M522" s="61" t="n"/>
      <c r="N522" s="61" t="n"/>
      <c r="O522" s="61" t="n"/>
      <c r="P522" s="61" t="n"/>
      <c r="Q522" s="61" t="n"/>
      <c r="R522" s="61" t="n"/>
      <c r="S522" s="61" t="n"/>
      <c r="T522" s="61" t="n"/>
      <c r="U522" s="61" t="n"/>
      <c r="V522" s="61" t="n"/>
      <c r="W522" s="61" t="n"/>
      <c r="X522" s="61" t="n"/>
      <c r="Y522" s="61" t="n"/>
      <c r="Z522" s="61" t="n"/>
      <c r="AA522" s="61" t="n"/>
      <c r="AB522" s="61" t="n"/>
      <c r="AC522" s="61" t="n"/>
      <c r="AD522" s="61" t="n"/>
      <c r="AE522" s="61" t="n"/>
      <c r="AF522" s="61" t="n"/>
      <c r="AG522" s="61" t="n"/>
      <c r="AH522" s="61" t="n"/>
    </row>
    <row r="523" ht="15.75" customHeight="1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  <c r="M523" s="61" t="n"/>
      <c r="N523" s="61" t="n"/>
      <c r="O523" s="61" t="n"/>
      <c r="P523" s="61" t="n"/>
      <c r="Q523" s="61" t="n"/>
      <c r="R523" s="61" t="n"/>
      <c r="S523" s="61" t="n"/>
      <c r="T523" s="61" t="n"/>
      <c r="U523" s="61" t="n"/>
      <c r="V523" s="61" t="n"/>
      <c r="W523" s="61" t="n"/>
      <c r="X523" s="61" t="n"/>
      <c r="Y523" s="61" t="n"/>
      <c r="Z523" s="61" t="n"/>
      <c r="AA523" s="61" t="n"/>
      <c r="AB523" s="61" t="n"/>
      <c r="AC523" s="61" t="n"/>
      <c r="AD523" s="61" t="n"/>
      <c r="AE523" s="61" t="n"/>
      <c r="AF523" s="61" t="n"/>
      <c r="AG523" s="61" t="n"/>
      <c r="AH523" s="61" t="n"/>
    </row>
    <row r="524" ht="15.75" customHeight="1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  <c r="M524" s="61" t="n"/>
      <c r="N524" s="61" t="n"/>
      <c r="O524" s="61" t="n"/>
      <c r="P524" s="61" t="n"/>
      <c r="Q524" s="61" t="n"/>
      <c r="R524" s="61" t="n"/>
      <c r="S524" s="61" t="n"/>
      <c r="T524" s="61" t="n"/>
      <c r="U524" s="61" t="n"/>
      <c r="V524" s="61" t="n"/>
      <c r="W524" s="61" t="n"/>
      <c r="X524" s="61" t="n"/>
      <c r="Y524" s="61" t="n"/>
      <c r="Z524" s="61" t="n"/>
      <c r="AA524" s="61" t="n"/>
      <c r="AB524" s="61" t="n"/>
      <c r="AC524" s="61" t="n"/>
      <c r="AD524" s="61" t="n"/>
      <c r="AE524" s="61" t="n"/>
      <c r="AF524" s="61" t="n"/>
      <c r="AG524" s="61" t="n"/>
      <c r="AH524" s="61" t="n"/>
    </row>
    <row r="525" ht="15.75" customHeight="1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  <c r="M525" s="61" t="n"/>
      <c r="N525" s="61" t="n"/>
      <c r="O525" s="61" t="n"/>
      <c r="P525" s="61" t="n"/>
      <c r="Q525" s="61" t="n"/>
      <c r="R525" s="61" t="n"/>
      <c r="S525" s="61" t="n"/>
      <c r="T525" s="61" t="n"/>
      <c r="U525" s="61" t="n"/>
      <c r="V525" s="61" t="n"/>
      <c r="W525" s="61" t="n"/>
      <c r="X525" s="61" t="n"/>
      <c r="Y525" s="61" t="n"/>
      <c r="Z525" s="61" t="n"/>
      <c r="AA525" s="61" t="n"/>
      <c r="AB525" s="61" t="n"/>
      <c r="AC525" s="61" t="n"/>
      <c r="AD525" s="61" t="n"/>
      <c r="AE525" s="61" t="n"/>
      <c r="AF525" s="61" t="n"/>
      <c r="AG525" s="61" t="n"/>
      <c r="AH525" s="61" t="n"/>
    </row>
    <row r="526" ht="15.75" customHeight="1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  <c r="M526" s="61" t="n"/>
      <c r="N526" s="61" t="n"/>
      <c r="O526" s="61" t="n"/>
      <c r="P526" s="61" t="n"/>
      <c r="Q526" s="61" t="n"/>
      <c r="R526" s="61" t="n"/>
      <c r="S526" s="61" t="n"/>
      <c r="T526" s="61" t="n"/>
      <c r="U526" s="61" t="n"/>
      <c r="V526" s="61" t="n"/>
      <c r="W526" s="61" t="n"/>
      <c r="X526" s="61" t="n"/>
      <c r="Y526" s="61" t="n"/>
      <c r="Z526" s="61" t="n"/>
      <c r="AA526" s="61" t="n"/>
      <c r="AB526" s="61" t="n"/>
      <c r="AC526" s="61" t="n"/>
      <c r="AD526" s="61" t="n"/>
      <c r="AE526" s="61" t="n"/>
      <c r="AF526" s="61" t="n"/>
      <c r="AG526" s="61" t="n"/>
      <c r="AH526" s="61" t="n"/>
    </row>
    <row r="527" ht="15.75" customHeight="1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  <c r="M527" s="61" t="n"/>
      <c r="N527" s="61" t="n"/>
      <c r="O527" s="61" t="n"/>
      <c r="P527" s="61" t="n"/>
      <c r="Q527" s="61" t="n"/>
      <c r="R527" s="61" t="n"/>
      <c r="S527" s="61" t="n"/>
      <c r="T527" s="61" t="n"/>
      <c r="U527" s="61" t="n"/>
      <c r="V527" s="61" t="n"/>
      <c r="W527" s="61" t="n"/>
      <c r="X527" s="61" t="n"/>
      <c r="Y527" s="61" t="n"/>
      <c r="Z527" s="61" t="n"/>
      <c r="AA527" s="61" t="n"/>
      <c r="AB527" s="61" t="n"/>
      <c r="AC527" s="61" t="n"/>
      <c r="AD527" s="61" t="n"/>
      <c r="AE527" s="61" t="n"/>
      <c r="AF527" s="61" t="n"/>
      <c r="AG527" s="61" t="n"/>
      <c r="AH527" s="61" t="n"/>
    </row>
    <row r="528" ht="15.75" customHeight="1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  <c r="M528" s="61" t="n"/>
      <c r="N528" s="61" t="n"/>
      <c r="O528" s="61" t="n"/>
      <c r="P528" s="61" t="n"/>
      <c r="Q528" s="61" t="n"/>
      <c r="R528" s="61" t="n"/>
      <c r="S528" s="61" t="n"/>
      <c r="T528" s="61" t="n"/>
      <c r="U528" s="61" t="n"/>
      <c r="V528" s="61" t="n"/>
      <c r="W528" s="61" t="n"/>
      <c r="X528" s="61" t="n"/>
      <c r="Y528" s="61" t="n"/>
      <c r="Z528" s="61" t="n"/>
      <c r="AA528" s="61" t="n"/>
      <c r="AB528" s="61" t="n"/>
      <c r="AC528" s="61" t="n"/>
      <c r="AD528" s="61" t="n"/>
      <c r="AE528" s="61" t="n"/>
      <c r="AF528" s="61" t="n"/>
      <c r="AG528" s="61" t="n"/>
      <c r="AH528" s="61" t="n"/>
    </row>
    <row r="529" ht="15.75" customHeight="1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  <c r="M529" s="61" t="n"/>
      <c r="N529" s="61" t="n"/>
      <c r="O529" s="61" t="n"/>
      <c r="P529" s="61" t="n"/>
      <c r="Q529" s="61" t="n"/>
      <c r="R529" s="61" t="n"/>
      <c r="S529" s="61" t="n"/>
      <c r="T529" s="61" t="n"/>
      <c r="U529" s="61" t="n"/>
      <c r="V529" s="61" t="n"/>
      <c r="W529" s="61" t="n"/>
      <c r="X529" s="61" t="n"/>
      <c r="Y529" s="61" t="n"/>
      <c r="Z529" s="61" t="n"/>
      <c r="AA529" s="61" t="n"/>
      <c r="AB529" s="61" t="n"/>
      <c r="AC529" s="61" t="n"/>
      <c r="AD529" s="61" t="n"/>
      <c r="AE529" s="61" t="n"/>
      <c r="AF529" s="61" t="n"/>
      <c r="AG529" s="61" t="n"/>
      <c r="AH529" s="61" t="n"/>
    </row>
    <row r="530" ht="15.75" customHeight="1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  <c r="M530" s="61" t="n"/>
      <c r="N530" s="61" t="n"/>
      <c r="O530" s="61" t="n"/>
      <c r="P530" s="61" t="n"/>
      <c r="Q530" s="61" t="n"/>
      <c r="R530" s="61" t="n"/>
      <c r="S530" s="61" t="n"/>
      <c r="T530" s="61" t="n"/>
      <c r="U530" s="61" t="n"/>
      <c r="V530" s="61" t="n"/>
      <c r="W530" s="61" t="n"/>
      <c r="X530" s="61" t="n"/>
      <c r="Y530" s="61" t="n"/>
      <c r="Z530" s="61" t="n"/>
      <c r="AA530" s="61" t="n"/>
      <c r="AB530" s="61" t="n"/>
      <c r="AC530" s="61" t="n"/>
      <c r="AD530" s="61" t="n"/>
      <c r="AE530" s="61" t="n"/>
      <c r="AF530" s="61" t="n"/>
      <c r="AG530" s="61" t="n"/>
      <c r="AH530" s="61" t="n"/>
    </row>
    <row r="531" ht="15.75" customHeight="1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  <c r="M531" s="61" t="n"/>
      <c r="N531" s="61" t="n"/>
      <c r="O531" s="61" t="n"/>
      <c r="P531" s="61" t="n"/>
      <c r="Q531" s="61" t="n"/>
      <c r="R531" s="61" t="n"/>
      <c r="S531" s="61" t="n"/>
      <c r="T531" s="61" t="n"/>
      <c r="U531" s="61" t="n"/>
      <c r="V531" s="61" t="n"/>
      <c r="W531" s="61" t="n"/>
      <c r="X531" s="61" t="n"/>
      <c r="Y531" s="61" t="n"/>
      <c r="Z531" s="61" t="n"/>
      <c r="AA531" s="61" t="n"/>
      <c r="AB531" s="61" t="n"/>
      <c r="AC531" s="61" t="n"/>
      <c r="AD531" s="61" t="n"/>
      <c r="AE531" s="61" t="n"/>
      <c r="AF531" s="61" t="n"/>
      <c r="AG531" s="61" t="n"/>
      <c r="AH531" s="61" t="n"/>
    </row>
    <row r="532" ht="15.75" customHeight="1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  <c r="M532" s="61" t="n"/>
      <c r="N532" s="61" t="n"/>
      <c r="O532" s="61" t="n"/>
      <c r="P532" s="61" t="n"/>
      <c r="Q532" s="61" t="n"/>
      <c r="R532" s="61" t="n"/>
      <c r="S532" s="61" t="n"/>
      <c r="T532" s="61" t="n"/>
      <c r="U532" s="61" t="n"/>
      <c r="V532" s="61" t="n"/>
      <c r="W532" s="61" t="n"/>
      <c r="X532" s="61" t="n"/>
      <c r="Y532" s="61" t="n"/>
      <c r="Z532" s="61" t="n"/>
      <c r="AA532" s="61" t="n"/>
      <c r="AB532" s="61" t="n"/>
      <c r="AC532" s="61" t="n"/>
      <c r="AD532" s="61" t="n"/>
      <c r="AE532" s="61" t="n"/>
      <c r="AF532" s="61" t="n"/>
      <c r="AG532" s="61" t="n"/>
      <c r="AH532" s="61" t="n"/>
    </row>
    <row r="533" ht="15.75" customHeight="1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  <c r="M533" s="61" t="n"/>
      <c r="N533" s="61" t="n"/>
      <c r="O533" s="61" t="n"/>
      <c r="P533" s="61" t="n"/>
      <c r="Q533" s="61" t="n"/>
      <c r="R533" s="61" t="n"/>
      <c r="S533" s="61" t="n"/>
      <c r="T533" s="61" t="n"/>
      <c r="U533" s="61" t="n"/>
      <c r="V533" s="61" t="n"/>
      <c r="W533" s="61" t="n"/>
      <c r="X533" s="61" t="n"/>
      <c r="Y533" s="61" t="n"/>
      <c r="Z533" s="61" t="n"/>
      <c r="AA533" s="61" t="n"/>
      <c r="AB533" s="61" t="n"/>
      <c r="AC533" s="61" t="n"/>
      <c r="AD533" s="61" t="n"/>
      <c r="AE533" s="61" t="n"/>
      <c r="AF533" s="61" t="n"/>
      <c r="AG533" s="61" t="n"/>
      <c r="AH533" s="61" t="n"/>
    </row>
    <row r="534" ht="15.75" customHeight="1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  <c r="M534" s="61" t="n"/>
      <c r="N534" s="61" t="n"/>
      <c r="O534" s="61" t="n"/>
      <c r="P534" s="61" t="n"/>
      <c r="Q534" s="61" t="n"/>
      <c r="R534" s="61" t="n"/>
      <c r="S534" s="61" t="n"/>
      <c r="T534" s="61" t="n"/>
      <c r="U534" s="61" t="n"/>
      <c r="V534" s="61" t="n"/>
      <c r="W534" s="61" t="n"/>
      <c r="X534" s="61" t="n"/>
      <c r="Y534" s="61" t="n"/>
      <c r="Z534" s="61" t="n"/>
      <c r="AA534" s="61" t="n"/>
      <c r="AB534" s="61" t="n"/>
      <c r="AC534" s="61" t="n"/>
      <c r="AD534" s="61" t="n"/>
      <c r="AE534" s="61" t="n"/>
      <c r="AF534" s="61" t="n"/>
      <c r="AG534" s="61" t="n"/>
      <c r="AH534" s="61" t="n"/>
    </row>
    <row r="535" ht="15.75" customHeight="1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  <c r="M535" s="61" t="n"/>
      <c r="N535" s="61" t="n"/>
      <c r="O535" s="61" t="n"/>
      <c r="P535" s="61" t="n"/>
      <c r="Q535" s="61" t="n"/>
      <c r="R535" s="61" t="n"/>
      <c r="S535" s="61" t="n"/>
      <c r="T535" s="61" t="n"/>
      <c r="U535" s="61" t="n"/>
      <c r="V535" s="61" t="n"/>
      <c r="W535" s="61" t="n"/>
      <c r="X535" s="61" t="n"/>
      <c r="Y535" s="61" t="n"/>
      <c r="Z535" s="61" t="n"/>
      <c r="AA535" s="61" t="n"/>
      <c r="AB535" s="61" t="n"/>
      <c r="AC535" s="61" t="n"/>
      <c r="AD535" s="61" t="n"/>
      <c r="AE535" s="61" t="n"/>
      <c r="AF535" s="61" t="n"/>
      <c r="AG535" s="61" t="n"/>
      <c r="AH535" s="61" t="n"/>
    </row>
    <row r="536" ht="15.75" customHeight="1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  <c r="M536" s="61" t="n"/>
      <c r="N536" s="61" t="n"/>
      <c r="O536" s="61" t="n"/>
      <c r="P536" s="61" t="n"/>
      <c r="Q536" s="61" t="n"/>
      <c r="R536" s="61" t="n"/>
      <c r="S536" s="61" t="n"/>
      <c r="T536" s="61" t="n"/>
      <c r="U536" s="61" t="n"/>
      <c r="V536" s="61" t="n"/>
      <c r="W536" s="61" t="n"/>
      <c r="X536" s="61" t="n"/>
      <c r="Y536" s="61" t="n"/>
      <c r="Z536" s="61" t="n"/>
      <c r="AA536" s="61" t="n"/>
      <c r="AB536" s="61" t="n"/>
      <c r="AC536" s="61" t="n"/>
      <c r="AD536" s="61" t="n"/>
      <c r="AE536" s="61" t="n"/>
      <c r="AF536" s="61" t="n"/>
      <c r="AG536" s="61" t="n"/>
      <c r="AH536" s="61" t="n"/>
    </row>
    <row r="537" ht="15.75" customHeight="1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  <c r="M537" s="61" t="n"/>
      <c r="N537" s="61" t="n"/>
      <c r="O537" s="61" t="n"/>
      <c r="P537" s="61" t="n"/>
      <c r="Q537" s="61" t="n"/>
      <c r="R537" s="61" t="n"/>
      <c r="S537" s="61" t="n"/>
      <c r="T537" s="61" t="n"/>
      <c r="U537" s="61" t="n"/>
      <c r="V537" s="61" t="n"/>
      <c r="W537" s="61" t="n"/>
      <c r="X537" s="61" t="n"/>
      <c r="Y537" s="61" t="n"/>
      <c r="Z537" s="61" t="n"/>
      <c r="AA537" s="61" t="n"/>
      <c r="AB537" s="61" t="n"/>
      <c r="AC537" s="61" t="n"/>
      <c r="AD537" s="61" t="n"/>
      <c r="AE537" s="61" t="n"/>
      <c r="AF537" s="61" t="n"/>
      <c r="AG537" s="61" t="n"/>
      <c r="AH537" s="61" t="n"/>
    </row>
    <row r="538" ht="15.75" customHeight="1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  <c r="M538" s="61" t="n"/>
      <c r="N538" s="61" t="n"/>
      <c r="O538" s="61" t="n"/>
      <c r="P538" s="61" t="n"/>
      <c r="Q538" s="61" t="n"/>
      <c r="R538" s="61" t="n"/>
      <c r="S538" s="61" t="n"/>
      <c r="T538" s="61" t="n"/>
      <c r="U538" s="61" t="n"/>
      <c r="V538" s="61" t="n"/>
      <c r="W538" s="61" t="n"/>
      <c r="X538" s="61" t="n"/>
      <c r="Y538" s="61" t="n"/>
      <c r="Z538" s="61" t="n"/>
      <c r="AA538" s="61" t="n"/>
      <c r="AB538" s="61" t="n"/>
      <c r="AC538" s="61" t="n"/>
      <c r="AD538" s="61" t="n"/>
      <c r="AE538" s="61" t="n"/>
      <c r="AF538" s="61" t="n"/>
      <c r="AG538" s="61" t="n"/>
      <c r="AH538" s="61" t="n"/>
    </row>
    <row r="539" ht="15.75" customHeight="1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  <c r="M539" s="61" t="n"/>
      <c r="N539" s="61" t="n"/>
      <c r="O539" s="61" t="n"/>
      <c r="P539" s="61" t="n"/>
      <c r="Q539" s="61" t="n"/>
      <c r="R539" s="61" t="n"/>
      <c r="S539" s="61" t="n"/>
      <c r="T539" s="61" t="n"/>
      <c r="U539" s="61" t="n"/>
      <c r="V539" s="61" t="n"/>
      <c r="W539" s="61" t="n"/>
      <c r="X539" s="61" t="n"/>
      <c r="Y539" s="61" t="n"/>
      <c r="Z539" s="61" t="n"/>
      <c r="AA539" s="61" t="n"/>
      <c r="AB539" s="61" t="n"/>
      <c r="AC539" s="61" t="n"/>
      <c r="AD539" s="61" t="n"/>
      <c r="AE539" s="61" t="n"/>
      <c r="AF539" s="61" t="n"/>
      <c r="AG539" s="61" t="n"/>
      <c r="AH539" s="61" t="n"/>
    </row>
    <row r="540" ht="15.75" customHeight="1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  <c r="M540" s="61" t="n"/>
      <c r="N540" s="61" t="n"/>
      <c r="O540" s="61" t="n"/>
      <c r="P540" s="61" t="n"/>
      <c r="Q540" s="61" t="n"/>
      <c r="R540" s="61" t="n"/>
      <c r="S540" s="61" t="n"/>
      <c r="T540" s="61" t="n"/>
      <c r="U540" s="61" t="n"/>
      <c r="V540" s="61" t="n"/>
      <c r="W540" s="61" t="n"/>
      <c r="X540" s="61" t="n"/>
      <c r="Y540" s="61" t="n"/>
      <c r="Z540" s="61" t="n"/>
      <c r="AA540" s="61" t="n"/>
      <c r="AB540" s="61" t="n"/>
      <c r="AC540" s="61" t="n"/>
      <c r="AD540" s="61" t="n"/>
      <c r="AE540" s="61" t="n"/>
      <c r="AF540" s="61" t="n"/>
      <c r="AG540" s="61" t="n"/>
      <c r="AH540" s="61" t="n"/>
    </row>
    <row r="541" ht="15.75" customHeight="1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  <c r="M541" s="61" t="n"/>
      <c r="N541" s="61" t="n"/>
      <c r="O541" s="61" t="n"/>
      <c r="P541" s="61" t="n"/>
      <c r="Q541" s="61" t="n"/>
      <c r="R541" s="61" t="n"/>
      <c r="S541" s="61" t="n"/>
      <c r="T541" s="61" t="n"/>
      <c r="U541" s="61" t="n"/>
      <c r="V541" s="61" t="n"/>
      <c r="W541" s="61" t="n"/>
      <c r="X541" s="61" t="n"/>
      <c r="Y541" s="61" t="n"/>
      <c r="Z541" s="61" t="n"/>
      <c r="AA541" s="61" t="n"/>
      <c r="AB541" s="61" t="n"/>
      <c r="AC541" s="61" t="n"/>
      <c r="AD541" s="61" t="n"/>
      <c r="AE541" s="61" t="n"/>
      <c r="AF541" s="61" t="n"/>
      <c r="AG541" s="61" t="n"/>
      <c r="AH541" s="61" t="n"/>
    </row>
    <row r="542" ht="15.75" customHeight="1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  <c r="M542" s="61" t="n"/>
      <c r="N542" s="61" t="n"/>
      <c r="O542" s="61" t="n"/>
      <c r="P542" s="61" t="n"/>
      <c r="Q542" s="61" t="n"/>
      <c r="R542" s="61" t="n"/>
      <c r="S542" s="61" t="n"/>
      <c r="T542" s="61" t="n"/>
      <c r="U542" s="61" t="n"/>
      <c r="V542" s="61" t="n"/>
      <c r="W542" s="61" t="n"/>
      <c r="X542" s="61" t="n"/>
      <c r="Y542" s="61" t="n"/>
      <c r="Z542" s="61" t="n"/>
      <c r="AA542" s="61" t="n"/>
      <c r="AB542" s="61" t="n"/>
      <c r="AC542" s="61" t="n"/>
      <c r="AD542" s="61" t="n"/>
      <c r="AE542" s="61" t="n"/>
      <c r="AF542" s="61" t="n"/>
      <c r="AG542" s="61" t="n"/>
      <c r="AH542" s="61" t="n"/>
    </row>
    <row r="543" ht="15.75" customHeight="1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  <c r="M543" s="61" t="n"/>
      <c r="N543" s="61" t="n"/>
      <c r="O543" s="61" t="n"/>
      <c r="P543" s="61" t="n"/>
      <c r="Q543" s="61" t="n"/>
      <c r="R543" s="61" t="n"/>
      <c r="S543" s="61" t="n"/>
      <c r="T543" s="61" t="n"/>
      <c r="U543" s="61" t="n"/>
      <c r="V543" s="61" t="n"/>
      <c r="W543" s="61" t="n"/>
      <c r="X543" s="61" t="n"/>
      <c r="Y543" s="61" t="n"/>
      <c r="Z543" s="61" t="n"/>
      <c r="AA543" s="61" t="n"/>
      <c r="AB543" s="61" t="n"/>
      <c r="AC543" s="61" t="n"/>
      <c r="AD543" s="61" t="n"/>
      <c r="AE543" s="61" t="n"/>
      <c r="AF543" s="61" t="n"/>
      <c r="AG543" s="61" t="n"/>
      <c r="AH543" s="61" t="n"/>
    </row>
    <row r="544" ht="15.75" customHeight="1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  <c r="M544" s="61" t="n"/>
      <c r="N544" s="61" t="n"/>
      <c r="O544" s="61" t="n"/>
      <c r="P544" s="61" t="n"/>
      <c r="Q544" s="61" t="n"/>
      <c r="R544" s="61" t="n"/>
      <c r="S544" s="61" t="n"/>
      <c r="T544" s="61" t="n"/>
      <c r="U544" s="61" t="n"/>
      <c r="V544" s="61" t="n"/>
      <c r="W544" s="61" t="n"/>
      <c r="X544" s="61" t="n"/>
      <c r="Y544" s="61" t="n"/>
      <c r="Z544" s="61" t="n"/>
      <c r="AA544" s="61" t="n"/>
      <c r="AB544" s="61" t="n"/>
      <c r="AC544" s="61" t="n"/>
      <c r="AD544" s="61" t="n"/>
      <c r="AE544" s="61" t="n"/>
      <c r="AF544" s="61" t="n"/>
      <c r="AG544" s="61" t="n"/>
      <c r="AH544" s="61" t="n"/>
    </row>
    <row r="545" ht="15.75" customHeight="1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  <c r="M545" s="61" t="n"/>
      <c r="N545" s="61" t="n"/>
      <c r="O545" s="61" t="n"/>
      <c r="P545" s="61" t="n"/>
      <c r="Q545" s="61" t="n"/>
      <c r="R545" s="61" t="n"/>
      <c r="S545" s="61" t="n"/>
      <c r="T545" s="61" t="n"/>
      <c r="U545" s="61" t="n"/>
      <c r="V545" s="61" t="n"/>
      <c r="W545" s="61" t="n"/>
      <c r="X545" s="61" t="n"/>
      <c r="Y545" s="61" t="n"/>
      <c r="Z545" s="61" t="n"/>
      <c r="AA545" s="61" t="n"/>
      <c r="AB545" s="61" t="n"/>
      <c r="AC545" s="61" t="n"/>
      <c r="AD545" s="61" t="n"/>
      <c r="AE545" s="61" t="n"/>
      <c r="AF545" s="61" t="n"/>
      <c r="AG545" s="61" t="n"/>
      <c r="AH545" s="61" t="n"/>
    </row>
    <row r="546" ht="15.75" customHeight="1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  <c r="M546" s="61" t="n"/>
      <c r="N546" s="61" t="n"/>
      <c r="O546" s="61" t="n"/>
      <c r="P546" s="61" t="n"/>
      <c r="Q546" s="61" t="n"/>
      <c r="R546" s="61" t="n"/>
      <c r="S546" s="61" t="n"/>
      <c r="T546" s="61" t="n"/>
      <c r="U546" s="61" t="n"/>
      <c r="V546" s="61" t="n"/>
      <c r="W546" s="61" t="n"/>
      <c r="X546" s="61" t="n"/>
      <c r="Y546" s="61" t="n"/>
      <c r="Z546" s="61" t="n"/>
      <c r="AA546" s="61" t="n"/>
      <c r="AB546" s="61" t="n"/>
      <c r="AC546" s="61" t="n"/>
      <c r="AD546" s="61" t="n"/>
      <c r="AE546" s="61" t="n"/>
      <c r="AF546" s="61" t="n"/>
      <c r="AG546" s="61" t="n"/>
      <c r="AH546" s="61" t="n"/>
    </row>
    <row r="547" ht="15.75" customHeight="1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  <c r="M547" s="61" t="n"/>
      <c r="N547" s="61" t="n"/>
      <c r="O547" s="61" t="n"/>
      <c r="P547" s="61" t="n"/>
      <c r="Q547" s="61" t="n"/>
      <c r="R547" s="61" t="n"/>
      <c r="S547" s="61" t="n"/>
      <c r="T547" s="61" t="n"/>
      <c r="U547" s="61" t="n"/>
      <c r="V547" s="61" t="n"/>
      <c r="W547" s="61" t="n"/>
      <c r="X547" s="61" t="n"/>
      <c r="Y547" s="61" t="n"/>
      <c r="Z547" s="61" t="n"/>
      <c r="AA547" s="61" t="n"/>
      <c r="AB547" s="61" t="n"/>
      <c r="AC547" s="61" t="n"/>
      <c r="AD547" s="61" t="n"/>
      <c r="AE547" s="61" t="n"/>
      <c r="AF547" s="61" t="n"/>
      <c r="AG547" s="61" t="n"/>
      <c r="AH547" s="61" t="n"/>
    </row>
    <row r="548" ht="15.75" customHeight="1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  <c r="M548" s="61" t="n"/>
      <c r="N548" s="61" t="n"/>
      <c r="O548" s="61" t="n"/>
      <c r="P548" s="61" t="n"/>
      <c r="Q548" s="61" t="n"/>
      <c r="R548" s="61" t="n"/>
      <c r="S548" s="61" t="n"/>
      <c r="T548" s="61" t="n"/>
      <c r="U548" s="61" t="n"/>
      <c r="V548" s="61" t="n"/>
      <c r="W548" s="61" t="n"/>
      <c r="X548" s="61" t="n"/>
      <c r="Y548" s="61" t="n"/>
      <c r="Z548" s="61" t="n"/>
      <c r="AA548" s="61" t="n"/>
      <c r="AB548" s="61" t="n"/>
      <c r="AC548" s="61" t="n"/>
      <c r="AD548" s="61" t="n"/>
      <c r="AE548" s="61" t="n"/>
      <c r="AF548" s="61" t="n"/>
      <c r="AG548" s="61" t="n"/>
      <c r="AH548" s="61" t="n"/>
    </row>
    <row r="549" ht="15.75" customHeight="1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  <c r="M549" s="61" t="n"/>
      <c r="N549" s="61" t="n"/>
      <c r="O549" s="61" t="n"/>
      <c r="P549" s="61" t="n"/>
      <c r="Q549" s="61" t="n"/>
      <c r="R549" s="61" t="n"/>
      <c r="S549" s="61" t="n"/>
      <c r="T549" s="61" t="n"/>
      <c r="U549" s="61" t="n"/>
      <c r="V549" s="61" t="n"/>
      <c r="W549" s="61" t="n"/>
      <c r="X549" s="61" t="n"/>
      <c r="Y549" s="61" t="n"/>
      <c r="Z549" s="61" t="n"/>
      <c r="AA549" s="61" t="n"/>
      <c r="AB549" s="61" t="n"/>
      <c r="AC549" s="61" t="n"/>
      <c r="AD549" s="61" t="n"/>
      <c r="AE549" s="61" t="n"/>
      <c r="AF549" s="61" t="n"/>
      <c r="AG549" s="61" t="n"/>
      <c r="AH549" s="61" t="n"/>
    </row>
    <row r="550" ht="15.75" customHeight="1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  <c r="M550" s="61" t="n"/>
      <c r="N550" s="61" t="n"/>
      <c r="O550" s="61" t="n"/>
      <c r="P550" s="61" t="n"/>
      <c r="Q550" s="61" t="n"/>
      <c r="R550" s="61" t="n"/>
      <c r="S550" s="61" t="n"/>
      <c r="T550" s="61" t="n"/>
      <c r="U550" s="61" t="n"/>
      <c r="V550" s="61" t="n"/>
      <c r="W550" s="61" t="n"/>
      <c r="X550" s="61" t="n"/>
      <c r="Y550" s="61" t="n"/>
      <c r="Z550" s="61" t="n"/>
      <c r="AA550" s="61" t="n"/>
      <c r="AB550" s="61" t="n"/>
      <c r="AC550" s="61" t="n"/>
      <c r="AD550" s="61" t="n"/>
      <c r="AE550" s="61" t="n"/>
      <c r="AF550" s="61" t="n"/>
      <c r="AG550" s="61" t="n"/>
      <c r="AH550" s="61" t="n"/>
    </row>
    <row r="551" ht="15.75" customHeight="1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  <c r="M551" s="61" t="n"/>
      <c r="N551" s="61" t="n"/>
      <c r="O551" s="61" t="n"/>
      <c r="P551" s="61" t="n"/>
      <c r="Q551" s="61" t="n"/>
      <c r="R551" s="61" t="n"/>
      <c r="S551" s="61" t="n"/>
      <c r="T551" s="61" t="n"/>
      <c r="U551" s="61" t="n"/>
      <c r="V551" s="61" t="n"/>
      <c r="W551" s="61" t="n"/>
      <c r="X551" s="61" t="n"/>
      <c r="Y551" s="61" t="n"/>
      <c r="Z551" s="61" t="n"/>
      <c r="AA551" s="61" t="n"/>
      <c r="AB551" s="61" t="n"/>
      <c r="AC551" s="61" t="n"/>
      <c r="AD551" s="61" t="n"/>
      <c r="AE551" s="61" t="n"/>
      <c r="AF551" s="61" t="n"/>
      <c r="AG551" s="61" t="n"/>
      <c r="AH551" s="61" t="n"/>
    </row>
    <row r="552" ht="15.75" customHeight="1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  <c r="M552" s="61" t="n"/>
      <c r="N552" s="61" t="n"/>
      <c r="O552" s="61" t="n"/>
      <c r="P552" s="61" t="n"/>
      <c r="Q552" s="61" t="n"/>
      <c r="R552" s="61" t="n"/>
      <c r="S552" s="61" t="n"/>
      <c r="T552" s="61" t="n"/>
      <c r="U552" s="61" t="n"/>
      <c r="V552" s="61" t="n"/>
      <c r="W552" s="61" t="n"/>
      <c r="X552" s="61" t="n"/>
      <c r="Y552" s="61" t="n"/>
      <c r="Z552" s="61" t="n"/>
      <c r="AA552" s="61" t="n"/>
      <c r="AB552" s="61" t="n"/>
      <c r="AC552" s="61" t="n"/>
      <c r="AD552" s="61" t="n"/>
      <c r="AE552" s="61" t="n"/>
      <c r="AF552" s="61" t="n"/>
      <c r="AG552" s="61" t="n"/>
      <c r="AH552" s="61" t="n"/>
    </row>
    <row r="553" ht="15.75" customHeight="1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  <c r="M553" s="61" t="n"/>
      <c r="N553" s="61" t="n"/>
      <c r="O553" s="61" t="n"/>
      <c r="P553" s="61" t="n"/>
      <c r="Q553" s="61" t="n"/>
      <c r="R553" s="61" t="n"/>
      <c r="S553" s="61" t="n"/>
      <c r="T553" s="61" t="n"/>
      <c r="U553" s="61" t="n"/>
      <c r="V553" s="61" t="n"/>
      <c r="W553" s="61" t="n"/>
      <c r="X553" s="61" t="n"/>
      <c r="Y553" s="61" t="n"/>
      <c r="Z553" s="61" t="n"/>
      <c r="AA553" s="61" t="n"/>
      <c r="AB553" s="61" t="n"/>
      <c r="AC553" s="61" t="n"/>
      <c r="AD553" s="61" t="n"/>
      <c r="AE553" s="61" t="n"/>
      <c r="AF553" s="61" t="n"/>
      <c r="AG553" s="61" t="n"/>
      <c r="AH553" s="61" t="n"/>
    </row>
    <row r="554" ht="15.75" customHeight="1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  <c r="M554" s="61" t="n"/>
      <c r="N554" s="61" t="n"/>
      <c r="O554" s="61" t="n"/>
      <c r="P554" s="61" t="n"/>
      <c r="Q554" s="61" t="n"/>
      <c r="R554" s="61" t="n"/>
      <c r="S554" s="61" t="n"/>
      <c r="T554" s="61" t="n"/>
      <c r="U554" s="61" t="n"/>
      <c r="V554" s="61" t="n"/>
      <c r="W554" s="61" t="n"/>
      <c r="X554" s="61" t="n"/>
      <c r="Y554" s="61" t="n"/>
      <c r="Z554" s="61" t="n"/>
      <c r="AA554" s="61" t="n"/>
      <c r="AB554" s="61" t="n"/>
      <c r="AC554" s="61" t="n"/>
      <c r="AD554" s="61" t="n"/>
      <c r="AE554" s="61" t="n"/>
      <c r="AF554" s="61" t="n"/>
      <c r="AG554" s="61" t="n"/>
      <c r="AH554" s="61" t="n"/>
    </row>
    <row r="555" ht="15.75" customHeight="1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  <c r="M555" s="61" t="n"/>
      <c r="N555" s="61" t="n"/>
      <c r="O555" s="61" t="n"/>
      <c r="P555" s="61" t="n"/>
      <c r="Q555" s="61" t="n"/>
      <c r="R555" s="61" t="n"/>
      <c r="S555" s="61" t="n"/>
      <c r="T555" s="61" t="n"/>
      <c r="U555" s="61" t="n"/>
      <c r="V555" s="61" t="n"/>
      <c r="W555" s="61" t="n"/>
      <c r="X555" s="61" t="n"/>
      <c r="Y555" s="61" t="n"/>
      <c r="Z555" s="61" t="n"/>
      <c r="AA555" s="61" t="n"/>
      <c r="AB555" s="61" t="n"/>
      <c r="AC555" s="61" t="n"/>
      <c r="AD555" s="61" t="n"/>
      <c r="AE555" s="61" t="n"/>
      <c r="AF555" s="61" t="n"/>
      <c r="AG555" s="61" t="n"/>
      <c r="AH555" s="61" t="n"/>
    </row>
    <row r="556" ht="15.75" customHeight="1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  <c r="M556" s="61" t="n"/>
      <c r="N556" s="61" t="n"/>
      <c r="O556" s="61" t="n"/>
      <c r="P556" s="61" t="n"/>
      <c r="Q556" s="61" t="n"/>
      <c r="R556" s="61" t="n"/>
      <c r="S556" s="61" t="n"/>
      <c r="T556" s="61" t="n"/>
      <c r="U556" s="61" t="n"/>
      <c r="V556" s="61" t="n"/>
      <c r="W556" s="61" t="n"/>
      <c r="X556" s="61" t="n"/>
      <c r="Y556" s="61" t="n"/>
      <c r="Z556" s="61" t="n"/>
      <c r="AA556" s="61" t="n"/>
      <c r="AB556" s="61" t="n"/>
      <c r="AC556" s="61" t="n"/>
      <c r="AD556" s="61" t="n"/>
      <c r="AE556" s="61" t="n"/>
      <c r="AF556" s="61" t="n"/>
      <c r="AG556" s="61" t="n"/>
      <c r="AH556" s="61" t="n"/>
    </row>
    <row r="557" ht="15.75" customHeight="1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  <c r="M557" s="61" t="n"/>
      <c r="N557" s="61" t="n"/>
      <c r="O557" s="61" t="n"/>
      <c r="P557" s="61" t="n"/>
      <c r="Q557" s="61" t="n"/>
      <c r="R557" s="61" t="n"/>
      <c r="S557" s="61" t="n"/>
      <c r="T557" s="61" t="n"/>
      <c r="U557" s="61" t="n"/>
      <c r="V557" s="61" t="n"/>
      <c r="W557" s="61" t="n"/>
      <c r="X557" s="61" t="n"/>
      <c r="Y557" s="61" t="n"/>
      <c r="Z557" s="61" t="n"/>
      <c r="AA557" s="61" t="n"/>
      <c r="AB557" s="61" t="n"/>
      <c r="AC557" s="61" t="n"/>
      <c r="AD557" s="61" t="n"/>
      <c r="AE557" s="61" t="n"/>
      <c r="AF557" s="61" t="n"/>
      <c r="AG557" s="61" t="n"/>
      <c r="AH557" s="61" t="n"/>
    </row>
    <row r="558" ht="15.75" customHeight="1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  <c r="M558" s="61" t="n"/>
      <c r="N558" s="61" t="n"/>
      <c r="O558" s="61" t="n"/>
      <c r="P558" s="61" t="n"/>
      <c r="Q558" s="61" t="n"/>
      <c r="R558" s="61" t="n"/>
      <c r="S558" s="61" t="n"/>
      <c r="T558" s="61" t="n"/>
      <c r="U558" s="61" t="n"/>
      <c r="V558" s="61" t="n"/>
      <c r="W558" s="61" t="n"/>
      <c r="X558" s="61" t="n"/>
      <c r="Y558" s="61" t="n"/>
      <c r="Z558" s="61" t="n"/>
      <c r="AA558" s="61" t="n"/>
      <c r="AB558" s="61" t="n"/>
      <c r="AC558" s="61" t="n"/>
      <c r="AD558" s="61" t="n"/>
      <c r="AE558" s="61" t="n"/>
      <c r="AF558" s="61" t="n"/>
      <c r="AG558" s="61" t="n"/>
      <c r="AH558" s="61" t="n"/>
    </row>
    <row r="559" ht="15.75" customHeight="1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  <c r="M559" s="61" t="n"/>
      <c r="N559" s="61" t="n"/>
      <c r="O559" s="61" t="n"/>
      <c r="P559" s="61" t="n"/>
      <c r="Q559" s="61" t="n"/>
      <c r="R559" s="61" t="n"/>
      <c r="S559" s="61" t="n"/>
      <c r="T559" s="61" t="n"/>
      <c r="U559" s="61" t="n"/>
      <c r="V559" s="61" t="n"/>
      <c r="W559" s="61" t="n"/>
      <c r="X559" s="61" t="n"/>
      <c r="Y559" s="61" t="n"/>
      <c r="Z559" s="61" t="n"/>
      <c r="AA559" s="61" t="n"/>
      <c r="AB559" s="61" t="n"/>
      <c r="AC559" s="61" t="n"/>
      <c r="AD559" s="61" t="n"/>
      <c r="AE559" s="61" t="n"/>
      <c r="AF559" s="61" t="n"/>
      <c r="AG559" s="61" t="n"/>
      <c r="AH559" s="61" t="n"/>
    </row>
    <row r="560" ht="15.75" customHeight="1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  <c r="M560" s="61" t="n"/>
      <c r="N560" s="61" t="n"/>
      <c r="O560" s="61" t="n"/>
      <c r="P560" s="61" t="n"/>
      <c r="Q560" s="61" t="n"/>
      <c r="R560" s="61" t="n"/>
      <c r="S560" s="61" t="n"/>
      <c r="T560" s="61" t="n"/>
      <c r="U560" s="61" t="n"/>
      <c r="V560" s="61" t="n"/>
      <c r="W560" s="61" t="n"/>
      <c r="X560" s="61" t="n"/>
      <c r="Y560" s="61" t="n"/>
      <c r="Z560" s="61" t="n"/>
      <c r="AA560" s="61" t="n"/>
      <c r="AB560" s="61" t="n"/>
      <c r="AC560" s="61" t="n"/>
      <c r="AD560" s="61" t="n"/>
      <c r="AE560" s="61" t="n"/>
      <c r="AF560" s="61" t="n"/>
      <c r="AG560" s="61" t="n"/>
      <c r="AH560" s="61" t="n"/>
    </row>
    <row r="561" ht="15.75" customHeight="1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  <c r="M561" s="61" t="n"/>
      <c r="N561" s="61" t="n"/>
      <c r="O561" s="61" t="n"/>
      <c r="P561" s="61" t="n"/>
      <c r="Q561" s="61" t="n"/>
      <c r="R561" s="61" t="n"/>
      <c r="S561" s="61" t="n"/>
      <c r="T561" s="61" t="n"/>
      <c r="U561" s="61" t="n"/>
      <c r="V561" s="61" t="n"/>
      <c r="W561" s="61" t="n"/>
      <c r="X561" s="61" t="n"/>
      <c r="Y561" s="61" t="n"/>
      <c r="Z561" s="61" t="n"/>
      <c r="AA561" s="61" t="n"/>
      <c r="AB561" s="61" t="n"/>
      <c r="AC561" s="61" t="n"/>
      <c r="AD561" s="61" t="n"/>
      <c r="AE561" s="61" t="n"/>
      <c r="AF561" s="61" t="n"/>
      <c r="AG561" s="61" t="n"/>
      <c r="AH561" s="61" t="n"/>
    </row>
    <row r="562" ht="15.75" customHeight="1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  <c r="M562" s="61" t="n"/>
      <c r="N562" s="61" t="n"/>
      <c r="O562" s="61" t="n"/>
      <c r="P562" s="61" t="n"/>
      <c r="Q562" s="61" t="n"/>
      <c r="R562" s="61" t="n"/>
      <c r="S562" s="61" t="n"/>
      <c r="T562" s="61" t="n"/>
      <c r="U562" s="61" t="n"/>
      <c r="V562" s="61" t="n"/>
      <c r="W562" s="61" t="n"/>
      <c r="X562" s="61" t="n"/>
      <c r="Y562" s="61" t="n"/>
      <c r="Z562" s="61" t="n"/>
      <c r="AA562" s="61" t="n"/>
      <c r="AB562" s="61" t="n"/>
      <c r="AC562" s="61" t="n"/>
      <c r="AD562" s="61" t="n"/>
      <c r="AE562" s="61" t="n"/>
      <c r="AF562" s="61" t="n"/>
      <c r="AG562" s="61" t="n"/>
      <c r="AH562" s="61" t="n"/>
    </row>
    <row r="563" ht="15.75" customHeight="1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  <c r="M563" s="61" t="n"/>
      <c r="N563" s="61" t="n"/>
      <c r="O563" s="61" t="n"/>
      <c r="P563" s="61" t="n"/>
      <c r="Q563" s="61" t="n"/>
      <c r="R563" s="61" t="n"/>
      <c r="S563" s="61" t="n"/>
      <c r="T563" s="61" t="n"/>
      <c r="U563" s="61" t="n"/>
      <c r="V563" s="61" t="n"/>
      <c r="W563" s="61" t="n"/>
      <c r="X563" s="61" t="n"/>
      <c r="Y563" s="61" t="n"/>
      <c r="Z563" s="61" t="n"/>
      <c r="AA563" s="61" t="n"/>
      <c r="AB563" s="61" t="n"/>
      <c r="AC563" s="61" t="n"/>
      <c r="AD563" s="61" t="n"/>
      <c r="AE563" s="61" t="n"/>
      <c r="AF563" s="61" t="n"/>
      <c r="AG563" s="61" t="n"/>
      <c r="AH563" s="61" t="n"/>
    </row>
    <row r="564" ht="15.75" customHeight="1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  <c r="M564" s="61" t="n"/>
      <c r="N564" s="61" t="n"/>
      <c r="O564" s="61" t="n"/>
      <c r="P564" s="61" t="n"/>
      <c r="Q564" s="61" t="n"/>
      <c r="R564" s="61" t="n"/>
      <c r="S564" s="61" t="n"/>
      <c r="T564" s="61" t="n"/>
      <c r="U564" s="61" t="n"/>
      <c r="V564" s="61" t="n"/>
      <c r="W564" s="61" t="n"/>
      <c r="X564" s="61" t="n"/>
      <c r="Y564" s="61" t="n"/>
      <c r="Z564" s="61" t="n"/>
      <c r="AA564" s="61" t="n"/>
      <c r="AB564" s="61" t="n"/>
      <c r="AC564" s="61" t="n"/>
      <c r="AD564" s="61" t="n"/>
      <c r="AE564" s="61" t="n"/>
      <c r="AF564" s="61" t="n"/>
      <c r="AG564" s="61" t="n"/>
      <c r="AH564" s="61" t="n"/>
    </row>
    <row r="565" ht="15.75" customHeight="1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  <c r="M565" s="61" t="n"/>
      <c r="N565" s="61" t="n"/>
      <c r="O565" s="61" t="n"/>
      <c r="P565" s="61" t="n"/>
      <c r="Q565" s="61" t="n"/>
      <c r="R565" s="61" t="n"/>
      <c r="S565" s="61" t="n"/>
      <c r="T565" s="61" t="n"/>
      <c r="U565" s="61" t="n"/>
      <c r="V565" s="61" t="n"/>
      <c r="W565" s="61" t="n"/>
      <c r="X565" s="61" t="n"/>
      <c r="Y565" s="61" t="n"/>
      <c r="Z565" s="61" t="n"/>
      <c r="AA565" s="61" t="n"/>
      <c r="AB565" s="61" t="n"/>
      <c r="AC565" s="61" t="n"/>
      <c r="AD565" s="61" t="n"/>
      <c r="AE565" s="61" t="n"/>
      <c r="AF565" s="61" t="n"/>
      <c r="AG565" s="61" t="n"/>
      <c r="AH565" s="61" t="n"/>
    </row>
    <row r="566" ht="15.75" customHeight="1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  <c r="M566" s="61" t="n"/>
      <c r="N566" s="61" t="n"/>
      <c r="O566" s="61" t="n"/>
      <c r="P566" s="61" t="n"/>
      <c r="Q566" s="61" t="n"/>
      <c r="R566" s="61" t="n"/>
      <c r="S566" s="61" t="n"/>
      <c r="T566" s="61" t="n"/>
      <c r="U566" s="61" t="n"/>
      <c r="V566" s="61" t="n"/>
      <c r="W566" s="61" t="n"/>
      <c r="X566" s="61" t="n"/>
      <c r="Y566" s="61" t="n"/>
      <c r="Z566" s="61" t="n"/>
      <c r="AA566" s="61" t="n"/>
      <c r="AB566" s="61" t="n"/>
      <c r="AC566" s="61" t="n"/>
      <c r="AD566" s="61" t="n"/>
      <c r="AE566" s="61" t="n"/>
      <c r="AF566" s="61" t="n"/>
      <c r="AG566" s="61" t="n"/>
      <c r="AH566" s="61" t="n"/>
    </row>
    <row r="567" ht="15.75" customHeight="1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  <c r="M567" s="61" t="n"/>
      <c r="N567" s="61" t="n"/>
      <c r="O567" s="61" t="n"/>
      <c r="P567" s="61" t="n"/>
      <c r="Q567" s="61" t="n"/>
      <c r="R567" s="61" t="n"/>
      <c r="S567" s="61" t="n"/>
      <c r="T567" s="61" t="n"/>
      <c r="U567" s="61" t="n"/>
      <c r="V567" s="61" t="n"/>
      <c r="W567" s="61" t="n"/>
      <c r="X567" s="61" t="n"/>
      <c r="Y567" s="61" t="n"/>
      <c r="Z567" s="61" t="n"/>
      <c r="AA567" s="61" t="n"/>
      <c r="AB567" s="61" t="n"/>
      <c r="AC567" s="61" t="n"/>
      <c r="AD567" s="61" t="n"/>
      <c r="AE567" s="61" t="n"/>
      <c r="AF567" s="61" t="n"/>
      <c r="AG567" s="61" t="n"/>
      <c r="AH567" s="61" t="n"/>
    </row>
    <row r="568" ht="15.75" customHeight="1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  <c r="M568" s="61" t="n"/>
      <c r="N568" s="61" t="n"/>
      <c r="O568" s="61" t="n"/>
      <c r="P568" s="61" t="n"/>
      <c r="Q568" s="61" t="n"/>
      <c r="R568" s="61" t="n"/>
      <c r="S568" s="61" t="n"/>
      <c r="T568" s="61" t="n"/>
      <c r="U568" s="61" t="n"/>
      <c r="V568" s="61" t="n"/>
      <c r="W568" s="61" t="n"/>
      <c r="X568" s="61" t="n"/>
      <c r="Y568" s="61" t="n"/>
      <c r="Z568" s="61" t="n"/>
      <c r="AA568" s="61" t="n"/>
      <c r="AB568" s="61" t="n"/>
      <c r="AC568" s="61" t="n"/>
      <c r="AD568" s="61" t="n"/>
      <c r="AE568" s="61" t="n"/>
      <c r="AF568" s="61" t="n"/>
      <c r="AG568" s="61" t="n"/>
      <c r="AH568" s="61" t="n"/>
    </row>
    <row r="569" ht="15.75" customHeight="1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  <c r="M569" s="61" t="n"/>
      <c r="N569" s="61" t="n"/>
      <c r="O569" s="61" t="n"/>
      <c r="P569" s="61" t="n"/>
      <c r="Q569" s="61" t="n"/>
      <c r="R569" s="61" t="n"/>
      <c r="S569" s="61" t="n"/>
      <c r="T569" s="61" t="n"/>
      <c r="U569" s="61" t="n"/>
      <c r="V569" s="61" t="n"/>
      <c r="W569" s="61" t="n"/>
      <c r="X569" s="61" t="n"/>
      <c r="Y569" s="61" t="n"/>
      <c r="Z569" s="61" t="n"/>
      <c r="AA569" s="61" t="n"/>
      <c r="AB569" s="61" t="n"/>
      <c r="AC569" s="61" t="n"/>
      <c r="AD569" s="61" t="n"/>
      <c r="AE569" s="61" t="n"/>
      <c r="AF569" s="61" t="n"/>
      <c r="AG569" s="61" t="n"/>
      <c r="AH569" s="61" t="n"/>
    </row>
    <row r="570" ht="15.75" customHeight="1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  <c r="M570" s="61" t="n"/>
      <c r="N570" s="61" t="n"/>
      <c r="O570" s="61" t="n"/>
      <c r="P570" s="61" t="n"/>
      <c r="Q570" s="61" t="n"/>
      <c r="R570" s="61" t="n"/>
      <c r="S570" s="61" t="n"/>
      <c r="T570" s="61" t="n"/>
      <c r="U570" s="61" t="n"/>
      <c r="V570" s="61" t="n"/>
      <c r="W570" s="61" t="n"/>
      <c r="X570" s="61" t="n"/>
      <c r="Y570" s="61" t="n"/>
      <c r="Z570" s="61" t="n"/>
      <c r="AA570" s="61" t="n"/>
      <c r="AB570" s="61" t="n"/>
      <c r="AC570" s="61" t="n"/>
      <c r="AD570" s="61" t="n"/>
      <c r="AE570" s="61" t="n"/>
      <c r="AF570" s="61" t="n"/>
      <c r="AG570" s="61" t="n"/>
      <c r="AH570" s="61" t="n"/>
    </row>
    <row r="571" ht="15.75" customHeight="1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  <c r="M571" s="61" t="n"/>
      <c r="N571" s="61" t="n"/>
      <c r="O571" s="61" t="n"/>
      <c r="P571" s="61" t="n"/>
      <c r="Q571" s="61" t="n"/>
      <c r="R571" s="61" t="n"/>
      <c r="S571" s="61" t="n"/>
      <c r="T571" s="61" t="n"/>
      <c r="U571" s="61" t="n"/>
      <c r="V571" s="61" t="n"/>
      <c r="W571" s="61" t="n"/>
      <c r="X571" s="61" t="n"/>
      <c r="Y571" s="61" t="n"/>
      <c r="Z571" s="61" t="n"/>
      <c r="AA571" s="61" t="n"/>
      <c r="AB571" s="61" t="n"/>
      <c r="AC571" s="61" t="n"/>
      <c r="AD571" s="61" t="n"/>
      <c r="AE571" s="61" t="n"/>
      <c r="AF571" s="61" t="n"/>
      <c r="AG571" s="61" t="n"/>
      <c r="AH571" s="61" t="n"/>
    </row>
    <row r="572" ht="15.75" customHeight="1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  <c r="M572" s="61" t="n"/>
      <c r="N572" s="61" t="n"/>
      <c r="O572" s="61" t="n"/>
      <c r="P572" s="61" t="n"/>
      <c r="Q572" s="61" t="n"/>
      <c r="R572" s="61" t="n"/>
      <c r="S572" s="61" t="n"/>
      <c r="T572" s="61" t="n"/>
      <c r="U572" s="61" t="n"/>
      <c r="V572" s="61" t="n"/>
      <c r="W572" s="61" t="n"/>
      <c r="X572" s="61" t="n"/>
      <c r="Y572" s="61" t="n"/>
      <c r="Z572" s="61" t="n"/>
      <c r="AA572" s="61" t="n"/>
      <c r="AB572" s="61" t="n"/>
      <c r="AC572" s="61" t="n"/>
      <c r="AD572" s="61" t="n"/>
      <c r="AE572" s="61" t="n"/>
      <c r="AF572" s="61" t="n"/>
      <c r="AG572" s="61" t="n"/>
      <c r="AH572" s="61" t="n"/>
    </row>
    <row r="573" ht="15.75" customHeight="1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  <c r="M573" s="61" t="n"/>
      <c r="N573" s="61" t="n"/>
      <c r="O573" s="61" t="n"/>
      <c r="P573" s="61" t="n"/>
      <c r="Q573" s="61" t="n"/>
      <c r="R573" s="61" t="n"/>
      <c r="S573" s="61" t="n"/>
      <c r="T573" s="61" t="n"/>
      <c r="U573" s="61" t="n"/>
      <c r="V573" s="61" t="n"/>
      <c r="W573" s="61" t="n"/>
      <c r="X573" s="61" t="n"/>
      <c r="Y573" s="61" t="n"/>
      <c r="Z573" s="61" t="n"/>
      <c r="AA573" s="61" t="n"/>
      <c r="AB573" s="61" t="n"/>
      <c r="AC573" s="61" t="n"/>
      <c r="AD573" s="61" t="n"/>
      <c r="AE573" s="61" t="n"/>
      <c r="AF573" s="61" t="n"/>
      <c r="AG573" s="61" t="n"/>
      <c r="AH573" s="61" t="n"/>
    </row>
    <row r="574" ht="15.75" customHeight="1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  <c r="M574" s="61" t="n"/>
      <c r="N574" s="61" t="n"/>
      <c r="O574" s="61" t="n"/>
      <c r="P574" s="61" t="n"/>
      <c r="Q574" s="61" t="n"/>
      <c r="R574" s="61" t="n"/>
      <c r="S574" s="61" t="n"/>
      <c r="T574" s="61" t="n"/>
      <c r="U574" s="61" t="n"/>
      <c r="V574" s="61" t="n"/>
      <c r="W574" s="61" t="n"/>
      <c r="X574" s="61" t="n"/>
      <c r="Y574" s="61" t="n"/>
      <c r="Z574" s="61" t="n"/>
      <c r="AA574" s="61" t="n"/>
      <c r="AB574" s="61" t="n"/>
      <c r="AC574" s="61" t="n"/>
      <c r="AD574" s="61" t="n"/>
      <c r="AE574" s="61" t="n"/>
      <c r="AF574" s="61" t="n"/>
      <c r="AG574" s="61" t="n"/>
      <c r="AH574" s="61" t="n"/>
    </row>
    <row r="575" ht="15.75" customHeight="1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  <c r="M575" s="61" t="n"/>
      <c r="N575" s="61" t="n"/>
      <c r="O575" s="61" t="n"/>
      <c r="P575" s="61" t="n"/>
      <c r="Q575" s="61" t="n"/>
      <c r="R575" s="61" t="n"/>
      <c r="S575" s="61" t="n"/>
      <c r="T575" s="61" t="n"/>
      <c r="U575" s="61" t="n"/>
      <c r="V575" s="61" t="n"/>
      <c r="W575" s="61" t="n"/>
      <c r="X575" s="61" t="n"/>
      <c r="Y575" s="61" t="n"/>
      <c r="Z575" s="61" t="n"/>
      <c r="AA575" s="61" t="n"/>
      <c r="AB575" s="61" t="n"/>
      <c r="AC575" s="61" t="n"/>
      <c r="AD575" s="61" t="n"/>
      <c r="AE575" s="61" t="n"/>
      <c r="AF575" s="61" t="n"/>
      <c r="AG575" s="61" t="n"/>
      <c r="AH575" s="61" t="n"/>
    </row>
    <row r="576" ht="15.75" customHeight="1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  <c r="M576" s="61" t="n"/>
      <c r="N576" s="61" t="n"/>
      <c r="O576" s="61" t="n"/>
      <c r="P576" s="61" t="n"/>
      <c r="Q576" s="61" t="n"/>
      <c r="R576" s="61" t="n"/>
      <c r="S576" s="61" t="n"/>
      <c r="T576" s="61" t="n"/>
      <c r="U576" s="61" t="n"/>
      <c r="V576" s="61" t="n"/>
      <c r="W576" s="61" t="n"/>
      <c r="X576" s="61" t="n"/>
      <c r="Y576" s="61" t="n"/>
      <c r="Z576" s="61" t="n"/>
      <c r="AA576" s="61" t="n"/>
      <c r="AB576" s="61" t="n"/>
      <c r="AC576" s="61" t="n"/>
      <c r="AD576" s="61" t="n"/>
      <c r="AE576" s="61" t="n"/>
      <c r="AF576" s="61" t="n"/>
      <c r="AG576" s="61" t="n"/>
      <c r="AH576" s="61" t="n"/>
    </row>
    <row r="577" ht="15.75" customHeight="1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  <c r="M577" s="61" t="n"/>
      <c r="N577" s="61" t="n"/>
      <c r="O577" s="61" t="n"/>
      <c r="P577" s="61" t="n"/>
      <c r="Q577" s="61" t="n"/>
      <c r="R577" s="61" t="n"/>
      <c r="S577" s="61" t="n"/>
      <c r="T577" s="61" t="n"/>
      <c r="U577" s="61" t="n"/>
      <c r="V577" s="61" t="n"/>
      <c r="W577" s="61" t="n"/>
      <c r="X577" s="61" t="n"/>
      <c r="Y577" s="61" t="n"/>
      <c r="Z577" s="61" t="n"/>
      <c r="AA577" s="61" t="n"/>
      <c r="AB577" s="61" t="n"/>
      <c r="AC577" s="61" t="n"/>
      <c r="AD577" s="61" t="n"/>
      <c r="AE577" s="61" t="n"/>
      <c r="AF577" s="61" t="n"/>
      <c r="AG577" s="61" t="n"/>
      <c r="AH577" s="61" t="n"/>
    </row>
    <row r="578" ht="15.75" customHeight="1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  <c r="M578" s="61" t="n"/>
      <c r="N578" s="61" t="n"/>
      <c r="O578" s="61" t="n"/>
      <c r="P578" s="61" t="n"/>
      <c r="Q578" s="61" t="n"/>
      <c r="R578" s="61" t="n"/>
      <c r="S578" s="61" t="n"/>
      <c r="T578" s="61" t="n"/>
      <c r="U578" s="61" t="n"/>
      <c r="V578" s="61" t="n"/>
      <c r="W578" s="61" t="n"/>
      <c r="X578" s="61" t="n"/>
      <c r="Y578" s="61" t="n"/>
      <c r="Z578" s="61" t="n"/>
      <c r="AA578" s="61" t="n"/>
      <c r="AB578" s="61" t="n"/>
      <c r="AC578" s="61" t="n"/>
      <c r="AD578" s="61" t="n"/>
      <c r="AE578" s="61" t="n"/>
      <c r="AF578" s="61" t="n"/>
      <c r="AG578" s="61" t="n"/>
      <c r="AH578" s="61" t="n"/>
    </row>
    <row r="579" ht="15.75" customHeight="1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  <c r="M579" s="61" t="n"/>
      <c r="N579" s="61" t="n"/>
      <c r="O579" s="61" t="n"/>
      <c r="P579" s="61" t="n"/>
      <c r="Q579" s="61" t="n"/>
      <c r="R579" s="61" t="n"/>
      <c r="S579" s="61" t="n"/>
      <c r="T579" s="61" t="n"/>
      <c r="U579" s="61" t="n"/>
      <c r="V579" s="61" t="n"/>
      <c r="W579" s="61" t="n"/>
      <c r="X579" s="61" t="n"/>
      <c r="Y579" s="61" t="n"/>
      <c r="Z579" s="61" t="n"/>
      <c r="AA579" s="61" t="n"/>
      <c r="AB579" s="61" t="n"/>
      <c r="AC579" s="61" t="n"/>
      <c r="AD579" s="61" t="n"/>
      <c r="AE579" s="61" t="n"/>
      <c r="AF579" s="61" t="n"/>
      <c r="AG579" s="61" t="n"/>
      <c r="AH579" s="61" t="n"/>
    </row>
    <row r="580" ht="15.75" customHeight="1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  <c r="M580" s="61" t="n"/>
      <c r="N580" s="61" t="n"/>
      <c r="O580" s="61" t="n"/>
      <c r="P580" s="61" t="n"/>
      <c r="Q580" s="61" t="n"/>
      <c r="R580" s="61" t="n"/>
      <c r="S580" s="61" t="n"/>
      <c r="T580" s="61" t="n"/>
      <c r="U580" s="61" t="n"/>
      <c r="V580" s="61" t="n"/>
      <c r="W580" s="61" t="n"/>
      <c r="X580" s="61" t="n"/>
      <c r="Y580" s="61" t="n"/>
      <c r="Z580" s="61" t="n"/>
      <c r="AA580" s="61" t="n"/>
      <c r="AB580" s="61" t="n"/>
      <c r="AC580" s="61" t="n"/>
      <c r="AD580" s="61" t="n"/>
      <c r="AE580" s="61" t="n"/>
      <c r="AF580" s="61" t="n"/>
      <c r="AG580" s="61" t="n"/>
      <c r="AH580" s="61" t="n"/>
    </row>
    <row r="581" ht="15.75" customHeight="1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  <c r="M581" s="61" t="n"/>
      <c r="N581" s="61" t="n"/>
      <c r="O581" s="61" t="n"/>
      <c r="P581" s="61" t="n"/>
      <c r="Q581" s="61" t="n"/>
      <c r="R581" s="61" t="n"/>
      <c r="S581" s="61" t="n"/>
      <c r="T581" s="61" t="n"/>
      <c r="U581" s="61" t="n"/>
      <c r="V581" s="61" t="n"/>
      <c r="W581" s="61" t="n"/>
      <c r="X581" s="61" t="n"/>
      <c r="Y581" s="61" t="n"/>
      <c r="Z581" s="61" t="n"/>
      <c r="AA581" s="61" t="n"/>
      <c r="AB581" s="61" t="n"/>
      <c r="AC581" s="61" t="n"/>
      <c r="AD581" s="61" t="n"/>
      <c r="AE581" s="61" t="n"/>
      <c r="AF581" s="61" t="n"/>
      <c r="AG581" s="61" t="n"/>
      <c r="AH581" s="61" t="n"/>
    </row>
    <row r="582" ht="15.75" customHeight="1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  <c r="M582" s="61" t="n"/>
      <c r="N582" s="61" t="n"/>
      <c r="O582" s="61" t="n"/>
      <c r="P582" s="61" t="n"/>
      <c r="Q582" s="61" t="n"/>
      <c r="R582" s="61" t="n"/>
      <c r="S582" s="61" t="n"/>
      <c r="T582" s="61" t="n"/>
      <c r="U582" s="61" t="n"/>
      <c r="V582" s="61" t="n"/>
      <c r="W582" s="61" t="n"/>
      <c r="X582" s="61" t="n"/>
      <c r="Y582" s="61" t="n"/>
      <c r="Z582" s="61" t="n"/>
      <c r="AA582" s="61" t="n"/>
      <c r="AB582" s="61" t="n"/>
      <c r="AC582" s="61" t="n"/>
      <c r="AD582" s="61" t="n"/>
      <c r="AE582" s="61" t="n"/>
      <c r="AF582" s="61" t="n"/>
      <c r="AG582" s="61" t="n"/>
      <c r="AH582" s="61" t="n"/>
    </row>
    <row r="583" ht="15.75" customHeight="1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  <c r="M583" s="61" t="n"/>
      <c r="N583" s="61" t="n"/>
      <c r="O583" s="61" t="n"/>
      <c r="P583" s="61" t="n"/>
      <c r="Q583" s="61" t="n"/>
      <c r="R583" s="61" t="n"/>
      <c r="S583" s="61" t="n"/>
      <c r="T583" s="61" t="n"/>
      <c r="U583" s="61" t="n"/>
      <c r="V583" s="61" t="n"/>
      <c r="W583" s="61" t="n"/>
      <c r="X583" s="61" t="n"/>
      <c r="Y583" s="61" t="n"/>
      <c r="Z583" s="61" t="n"/>
      <c r="AA583" s="61" t="n"/>
      <c r="AB583" s="61" t="n"/>
      <c r="AC583" s="61" t="n"/>
      <c r="AD583" s="61" t="n"/>
      <c r="AE583" s="61" t="n"/>
      <c r="AF583" s="61" t="n"/>
      <c r="AG583" s="61" t="n"/>
      <c r="AH583" s="61" t="n"/>
    </row>
    <row r="584" ht="15.75" customHeight="1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  <c r="M584" s="61" t="n"/>
      <c r="N584" s="61" t="n"/>
      <c r="O584" s="61" t="n"/>
      <c r="P584" s="61" t="n"/>
      <c r="Q584" s="61" t="n"/>
      <c r="R584" s="61" t="n"/>
      <c r="S584" s="61" t="n"/>
      <c r="T584" s="61" t="n"/>
      <c r="U584" s="61" t="n"/>
      <c r="V584" s="61" t="n"/>
      <c r="W584" s="61" t="n"/>
      <c r="X584" s="61" t="n"/>
      <c r="Y584" s="61" t="n"/>
      <c r="Z584" s="61" t="n"/>
      <c r="AA584" s="61" t="n"/>
      <c r="AB584" s="61" t="n"/>
      <c r="AC584" s="61" t="n"/>
      <c r="AD584" s="61" t="n"/>
      <c r="AE584" s="61" t="n"/>
      <c r="AF584" s="61" t="n"/>
      <c r="AG584" s="61" t="n"/>
      <c r="AH584" s="61" t="n"/>
    </row>
    <row r="585" ht="15.75" customHeight="1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  <c r="M585" s="61" t="n"/>
      <c r="N585" s="61" t="n"/>
      <c r="O585" s="61" t="n"/>
      <c r="P585" s="61" t="n"/>
      <c r="Q585" s="61" t="n"/>
      <c r="R585" s="61" t="n"/>
      <c r="S585" s="61" t="n"/>
      <c r="T585" s="61" t="n"/>
      <c r="U585" s="61" t="n"/>
      <c r="V585" s="61" t="n"/>
      <c r="W585" s="61" t="n"/>
      <c r="X585" s="61" t="n"/>
      <c r="Y585" s="61" t="n"/>
      <c r="Z585" s="61" t="n"/>
      <c r="AA585" s="61" t="n"/>
      <c r="AB585" s="61" t="n"/>
      <c r="AC585" s="61" t="n"/>
      <c r="AD585" s="61" t="n"/>
      <c r="AE585" s="61" t="n"/>
      <c r="AF585" s="61" t="n"/>
      <c r="AG585" s="61" t="n"/>
      <c r="AH585" s="61" t="n"/>
    </row>
    <row r="586" ht="15.75" customHeight="1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  <c r="M586" s="61" t="n"/>
      <c r="N586" s="61" t="n"/>
      <c r="O586" s="61" t="n"/>
      <c r="P586" s="61" t="n"/>
      <c r="Q586" s="61" t="n"/>
      <c r="R586" s="61" t="n"/>
      <c r="S586" s="61" t="n"/>
      <c r="T586" s="61" t="n"/>
      <c r="U586" s="61" t="n"/>
      <c r="V586" s="61" t="n"/>
      <c r="W586" s="61" t="n"/>
      <c r="X586" s="61" t="n"/>
      <c r="Y586" s="61" t="n"/>
      <c r="Z586" s="61" t="n"/>
      <c r="AA586" s="61" t="n"/>
      <c r="AB586" s="61" t="n"/>
      <c r="AC586" s="61" t="n"/>
      <c r="AD586" s="61" t="n"/>
      <c r="AE586" s="61" t="n"/>
      <c r="AF586" s="61" t="n"/>
      <c r="AG586" s="61" t="n"/>
      <c r="AH586" s="61" t="n"/>
    </row>
    <row r="587" ht="15.75" customHeight="1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  <c r="M587" s="61" t="n"/>
      <c r="N587" s="61" t="n"/>
      <c r="O587" s="61" t="n"/>
      <c r="P587" s="61" t="n"/>
      <c r="Q587" s="61" t="n"/>
      <c r="R587" s="61" t="n"/>
      <c r="S587" s="61" t="n"/>
      <c r="T587" s="61" t="n"/>
      <c r="U587" s="61" t="n"/>
      <c r="V587" s="61" t="n"/>
      <c r="W587" s="61" t="n"/>
      <c r="X587" s="61" t="n"/>
      <c r="Y587" s="61" t="n"/>
      <c r="Z587" s="61" t="n"/>
      <c r="AA587" s="61" t="n"/>
      <c r="AB587" s="61" t="n"/>
      <c r="AC587" s="61" t="n"/>
      <c r="AD587" s="61" t="n"/>
      <c r="AE587" s="61" t="n"/>
      <c r="AF587" s="61" t="n"/>
      <c r="AG587" s="61" t="n"/>
      <c r="AH587" s="61" t="n"/>
    </row>
    <row r="588" ht="15.75" customHeight="1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  <c r="M588" s="61" t="n"/>
      <c r="N588" s="61" t="n"/>
      <c r="O588" s="61" t="n"/>
      <c r="P588" s="61" t="n"/>
      <c r="Q588" s="61" t="n"/>
      <c r="R588" s="61" t="n"/>
      <c r="S588" s="61" t="n"/>
      <c r="T588" s="61" t="n"/>
      <c r="U588" s="61" t="n"/>
      <c r="V588" s="61" t="n"/>
      <c r="W588" s="61" t="n"/>
      <c r="X588" s="61" t="n"/>
      <c r="Y588" s="61" t="n"/>
      <c r="Z588" s="61" t="n"/>
      <c r="AA588" s="61" t="n"/>
      <c r="AB588" s="61" t="n"/>
      <c r="AC588" s="61" t="n"/>
      <c r="AD588" s="61" t="n"/>
      <c r="AE588" s="61" t="n"/>
      <c r="AF588" s="61" t="n"/>
      <c r="AG588" s="61" t="n"/>
      <c r="AH588" s="61" t="n"/>
    </row>
    <row r="589" ht="15.75" customHeight="1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  <c r="M589" s="61" t="n"/>
      <c r="N589" s="61" t="n"/>
      <c r="O589" s="61" t="n"/>
      <c r="P589" s="61" t="n"/>
      <c r="Q589" s="61" t="n"/>
      <c r="R589" s="61" t="n"/>
      <c r="S589" s="61" t="n"/>
      <c r="T589" s="61" t="n"/>
      <c r="U589" s="61" t="n"/>
      <c r="V589" s="61" t="n"/>
      <c r="W589" s="61" t="n"/>
      <c r="X589" s="61" t="n"/>
      <c r="Y589" s="61" t="n"/>
      <c r="Z589" s="61" t="n"/>
      <c r="AA589" s="61" t="n"/>
      <c r="AB589" s="61" t="n"/>
      <c r="AC589" s="61" t="n"/>
      <c r="AD589" s="61" t="n"/>
      <c r="AE589" s="61" t="n"/>
      <c r="AF589" s="61" t="n"/>
      <c r="AG589" s="61" t="n"/>
      <c r="AH589" s="61" t="n"/>
    </row>
    <row r="590" ht="15.75" customHeight="1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  <c r="M590" s="61" t="n"/>
      <c r="N590" s="61" t="n"/>
      <c r="O590" s="61" t="n"/>
      <c r="P590" s="61" t="n"/>
      <c r="Q590" s="61" t="n"/>
      <c r="R590" s="61" t="n"/>
      <c r="S590" s="61" t="n"/>
      <c r="T590" s="61" t="n"/>
      <c r="U590" s="61" t="n"/>
      <c r="V590" s="61" t="n"/>
      <c r="W590" s="61" t="n"/>
      <c r="X590" s="61" t="n"/>
      <c r="Y590" s="61" t="n"/>
      <c r="Z590" s="61" t="n"/>
      <c r="AA590" s="61" t="n"/>
      <c r="AB590" s="61" t="n"/>
      <c r="AC590" s="61" t="n"/>
      <c r="AD590" s="61" t="n"/>
      <c r="AE590" s="61" t="n"/>
      <c r="AF590" s="61" t="n"/>
      <c r="AG590" s="61" t="n"/>
      <c r="AH590" s="61" t="n"/>
    </row>
    <row r="591" ht="15.75" customHeight="1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  <c r="M591" s="61" t="n"/>
      <c r="N591" s="61" t="n"/>
      <c r="O591" s="61" t="n"/>
      <c r="P591" s="61" t="n"/>
      <c r="Q591" s="61" t="n"/>
      <c r="R591" s="61" t="n"/>
      <c r="S591" s="61" t="n"/>
      <c r="T591" s="61" t="n"/>
      <c r="U591" s="61" t="n"/>
      <c r="V591" s="61" t="n"/>
      <c r="W591" s="61" t="n"/>
      <c r="X591" s="61" t="n"/>
      <c r="Y591" s="61" t="n"/>
      <c r="Z591" s="61" t="n"/>
      <c r="AA591" s="61" t="n"/>
      <c r="AB591" s="61" t="n"/>
      <c r="AC591" s="61" t="n"/>
      <c r="AD591" s="61" t="n"/>
      <c r="AE591" s="61" t="n"/>
      <c r="AF591" s="61" t="n"/>
      <c r="AG591" s="61" t="n"/>
      <c r="AH591" s="61" t="n"/>
    </row>
    <row r="592" ht="15.75" customHeight="1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  <c r="M592" s="61" t="n"/>
      <c r="N592" s="61" t="n"/>
      <c r="O592" s="61" t="n"/>
      <c r="P592" s="61" t="n"/>
      <c r="Q592" s="61" t="n"/>
      <c r="R592" s="61" t="n"/>
      <c r="S592" s="61" t="n"/>
      <c r="T592" s="61" t="n"/>
      <c r="U592" s="61" t="n"/>
      <c r="V592" s="61" t="n"/>
      <c r="W592" s="61" t="n"/>
      <c r="X592" s="61" t="n"/>
      <c r="Y592" s="61" t="n"/>
      <c r="Z592" s="61" t="n"/>
      <c r="AA592" s="61" t="n"/>
      <c r="AB592" s="61" t="n"/>
      <c r="AC592" s="61" t="n"/>
      <c r="AD592" s="61" t="n"/>
      <c r="AE592" s="61" t="n"/>
      <c r="AF592" s="61" t="n"/>
      <c r="AG592" s="61" t="n"/>
      <c r="AH592" s="61" t="n"/>
    </row>
    <row r="593" ht="15.75" customHeight="1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  <c r="M593" s="61" t="n"/>
      <c r="N593" s="61" t="n"/>
      <c r="O593" s="61" t="n"/>
      <c r="P593" s="61" t="n"/>
      <c r="Q593" s="61" t="n"/>
      <c r="R593" s="61" t="n"/>
      <c r="S593" s="61" t="n"/>
      <c r="T593" s="61" t="n"/>
      <c r="U593" s="61" t="n"/>
      <c r="V593" s="61" t="n"/>
      <c r="W593" s="61" t="n"/>
      <c r="X593" s="61" t="n"/>
      <c r="Y593" s="61" t="n"/>
      <c r="Z593" s="61" t="n"/>
      <c r="AA593" s="61" t="n"/>
      <c r="AB593" s="61" t="n"/>
      <c r="AC593" s="61" t="n"/>
      <c r="AD593" s="61" t="n"/>
      <c r="AE593" s="61" t="n"/>
      <c r="AF593" s="61" t="n"/>
      <c r="AG593" s="61" t="n"/>
      <c r="AH593" s="61" t="n"/>
    </row>
    <row r="594" ht="15.75" customHeight="1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  <c r="M594" s="61" t="n"/>
      <c r="N594" s="61" t="n"/>
      <c r="O594" s="61" t="n"/>
      <c r="P594" s="61" t="n"/>
      <c r="Q594" s="61" t="n"/>
      <c r="R594" s="61" t="n"/>
      <c r="S594" s="61" t="n"/>
      <c r="T594" s="61" t="n"/>
      <c r="U594" s="61" t="n"/>
      <c r="V594" s="61" t="n"/>
      <c r="W594" s="61" t="n"/>
      <c r="X594" s="61" t="n"/>
      <c r="Y594" s="61" t="n"/>
      <c r="Z594" s="61" t="n"/>
      <c r="AA594" s="61" t="n"/>
      <c r="AB594" s="61" t="n"/>
      <c r="AC594" s="61" t="n"/>
      <c r="AD594" s="61" t="n"/>
      <c r="AE594" s="61" t="n"/>
      <c r="AF594" s="61" t="n"/>
      <c r="AG594" s="61" t="n"/>
      <c r="AH594" s="61" t="n"/>
    </row>
    <row r="595" ht="15.75" customHeight="1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  <c r="M595" s="61" t="n"/>
      <c r="N595" s="61" t="n"/>
      <c r="O595" s="61" t="n"/>
      <c r="P595" s="61" t="n"/>
      <c r="Q595" s="61" t="n"/>
      <c r="R595" s="61" t="n"/>
      <c r="S595" s="61" t="n"/>
      <c r="T595" s="61" t="n"/>
      <c r="U595" s="61" t="n"/>
      <c r="V595" s="61" t="n"/>
      <c r="W595" s="61" t="n"/>
      <c r="X595" s="61" t="n"/>
      <c r="Y595" s="61" t="n"/>
      <c r="Z595" s="61" t="n"/>
      <c r="AA595" s="61" t="n"/>
      <c r="AB595" s="61" t="n"/>
      <c r="AC595" s="61" t="n"/>
      <c r="AD595" s="61" t="n"/>
      <c r="AE595" s="61" t="n"/>
      <c r="AF595" s="61" t="n"/>
      <c r="AG595" s="61" t="n"/>
      <c r="AH595" s="61" t="n"/>
    </row>
    <row r="596" ht="15.75" customHeight="1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  <c r="M596" s="61" t="n"/>
      <c r="N596" s="61" t="n"/>
      <c r="O596" s="61" t="n"/>
      <c r="P596" s="61" t="n"/>
      <c r="Q596" s="61" t="n"/>
      <c r="R596" s="61" t="n"/>
      <c r="S596" s="61" t="n"/>
      <c r="T596" s="61" t="n"/>
      <c r="U596" s="61" t="n"/>
      <c r="V596" s="61" t="n"/>
      <c r="W596" s="61" t="n"/>
      <c r="X596" s="61" t="n"/>
      <c r="Y596" s="61" t="n"/>
      <c r="Z596" s="61" t="n"/>
      <c r="AA596" s="61" t="n"/>
      <c r="AB596" s="61" t="n"/>
      <c r="AC596" s="61" t="n"/>
      <c r="AD596" s="61" t="n"/>
      <c r="AE596" s="61" t="n"/>
      <c r="AF596" s="61" t="n"/>
      <c r="AG596" s="61" t="n"/>
      <c r="AH596" s="61" t="n"/>
    </row>
    <row r="597" ht="15.75" customHeight="1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  <c r="M597" s="61" t="n"/>
      <c r="N597" s="61" t="n"/>
      <c r="O597" s="61" t="n"/>
      <c r="P597" s="61" t="n"/>
      <c r="Q597" s="61" t="n"/>
      <c r="R597" s="61" t="n"/>
      <c r="S597" s="61" t="n"/>
      <c r="T597" s="61" t="n"/>
      <c r="U597" s="61" t="n"/>
      <c r="V597" s="61" t="n"/>
      <c r="W597" s="61" t="n"/>
      <c r="X597" s="61" t="n"/>
      <c r="Y597" s="61" t="n"/>
      <c r="Z597" s="61" t="n"/>
      <c r="AA597" s="61" t="n"/>
      <c r="AB597" s="61" t="n"/>
      <c r="AC597" s="61" t="n"/>
      <c r="AD597" s="61" t="n"/>
      <c r="AE597" s="61" t="n"/>
      <c r="AF597" s="61" t="n"/>
      <c r="AG597" s="61" t="n"/>
      <c r="AH597" s="61" t="n"/>
    </row>
    <row r="598" ht="15.75" customHeight="1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  <c r="M598" s="61" t="n"/>
      <c r="N598" s="61" t="n"/>
      <c r="O598" s="61" t="n"/>
      <c r="P598" s="61" t="n"/>
      <c r="Q598" s="61" t="n"/>
      <c r="R598" s="61" t="n"/>
      <c r="S598" s="61" t="n"/>
      <c r="T598" s="61" t="n"/>
      <c r="U598" s="61" t="n"/>
      <c r="V598" s="61" t="n"/>
      <c r="W598" s="61" t="n"/>
      <c r="X598" s="61" t="n"/>
      <c r="Y598" s="61" t="n"/>
      <c r="Z598" s="61" t="n"/>
      <c r="AA598" s="61" t="n"/>
      <c r="AB598" s="61" t="n"/>
      <c r="AC598" s="61" t="n"/>
      <c r="AD598" s="61" t="n"/>
      <c r="AE598" s="61" t="n"/>
      <c r="AF598" s="61" t="n"/>
      <c r="AG598" s="61" t="n"/>
      <c r="AH598" s="61" t="n"/>
    </row>
    <row r="599" ht="15.75" customHeight="1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  <c r="M599" s="61" t="n"/>
      <c r="N599" s="61" t="n"/>
      <c r="O599" s="61" t="n"/>
      <c r="P599" s="61" t="n"/>
      <c r="Q599" s="61" t="n"/>
      <c r="R599" s="61" t="n"/>
      <c r="S599" s="61" t="n"/>
      <c r="T599" s="61" t="n"/>
      <c r="U599" s="61" t="n"/>
      <c r="V599" s="61" t="n"/>
      <c r="W599" s="61" t="n"/>
      <c r="X599" s="61" t="n"/>
      <c r="Y599" s="61" t="n"/>
      <c r="Z599" s="61" t="n"/>
      <c r="AA599" s="61" t="n"/>
      <c r="AB599" s="61" t="n"/>
      <c r="AC599" s="61" t="n"/>
      <c r="AD599" s="61" t="n"/>
      <c r="AE599" s="61" t="n"/>
      <c r="AF599" s="61" t="n"/>
      <c r="AG599" s="61" t="n"/>
      <c r="AH599" s="61" t="n"/>
    </row>
    <row r="600" ht="15.75" customHeight="1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  <c r="M600" s="61" t="n"/>
      <c r="N600" s="61" t="n"/>
      <c r="O600" s="61" t="n"/>
      <c r="P600" s="61" t="n"/>
      <c r="Q600" s="61" t="n"/>
      <c r="R600" s="61" t="n"/>
      <c r="S600" s="61" t="n"/>
      <c r="T600" s="61" t="n"/>
      <c r="U600" s="61" t="n"/>
      <c r="V600" s="61" t="n"/>
      <c r="W600" s="61" t="n"/>
      <c r="X600" s="61" t="n"/>
      <c r="Y600" s="61" t="n"/>
      <c r="Z600" s="61" t="n"/>
      <c r="AA600" s="61" t="n"/>
      <c r="AB600" s="61" t="n"/>
      <c r="AC600" s="61" t="n"/>
      <c r="AD600" s="61" t="n"/>
      <c r="AE600" s="61" t="n"/>
      <c r="AF600" s="61" t="n"/>
      <c r="AG600" s="61" t="n"/>
      <c r="AH600" s="61" t="n"/>
    </row>
    <row r="601" ht="15.75" customHeight="1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  <c r="M601" s="61" t="n"/>
      <c r="N601" s="61" t="n"/>
      <c r="O601" s="61" t="n"/>
      <c r="P601" s="61" t="n"/>
      <c r="Q601" s="61" t="n"/>
      <c r="R601" s="61" t="n"/>
      <c r="S601" s="61" t="n"/>
      <c r="T601" s="61" t="n"/>
      <c r="U601" s="61" t="n"/>
      <c r="V601" s="61" t="n"/>
      <c r="W601" s="61" t="n"/>
      <c r="X601" s="61" t="n"/>
      <c r="Y601" s="61" t="n"/>
      <c r="Z601" s="61" t="n"/>
      <c r="AA601" s="61" t="n"/>
      <c r="AB601" s="61" t="n"/>
      <c r="AC601" s="61" t="n"/>
      <c r="AD601" s="61" t="n"/>
      <c r="AE601" s="61" t="n"/>
      <c r="AF601" s="61" t="n"/>
      <c r="AG601" s="61" t="n"/>
      <c r="AH601" s="61" t="n"/>
    </row>
    <row r="602" ht="15.75" customHeight="1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  <c r="M602" s="61" t="n"/>
      <c r="N602" s="61" t="n"/>
      <c r="O602" s="61" t="n"/>
      <c r="P602" s="61" t="n"/>
      <c r="Q602" s="61" t="n"/>
      <c r="R602" s="61" t="n"/>
      <c r="S602" s="61" t="n"/>
      <c r="T602" s="61" t="n"/>
      <c r="U602" s="61" t="n"/>
      <c r="V602" s="61" t="n"/>
      <c r="W602" s="61" t="n"/>
      <c r="X602" s="61" t="n"/>
      <c r="Y602" s="61" t="n"/>
      <c r="Z602" s="61" t="n"/>
      <c r="AA602" s="61" t="n"/>
      <c r="AB602" s="61" t="n"/>
      <c r="AC602" s="61" t="n"/>
      <c r="AD602" s="61" t="n"/>
      <c r="AE602" s="61" t="n"/>
      <c r="AF602" s="61" t="n"/>
      <c r="AG602" s="61" t="n"/>
      <c r="AH602" s="61" t="n"/>
    </row>
    <row r="603" ht="15.75" customHeight="1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  <c r="M603" s="61" t="n"/>
      <c r="N603" s="61" t="n"/>
      <c r="O603" s="61" t="n"/>
      <c r="P603" s="61" t="n"/>
      <c r="Q603" s="61" t="n"/>
      <c r="R603" s="61" t="n"/>
      <c r="S603" s="61" t="n"/>
      <c r="T603" s="61" t="n"/>
      <c r="U603" s="61" t="n"/>
      <c r="V603" s="61" t="n"/>
      <c r="W603" s="61" t="n"/>
      <c r="X603" s="61" t="n"/>
      <c r="Y603" s="61" t="n"/>
      <c r="Z603" s="61" t="n"/>
      <c r="AA603" s="61" t="n"/>
      <c r="AB603" s="61" t="n"/>
      <c r="AC603" s="61" t="n"/>
      <c r="AD603" s="61" t="n"/>
      <c r="AE603" s="61" t="n"/>
      <c r="AF603" s="61" t="n"/>
      <c r="AG603" s="61" t="n"/>
      <c r="AH603" s="61" t="n"/>
    </row>
    <row r="604" ht="15.75" customHeight="1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  <c r="M604" s="61" t="n"/>
      <c r="N604" s="61" t="n"/>
      <c r="O604" s="61" t="n"/>
      <c r="P604" s="61" t="n"/>
      <c r="Q604" s="61" t="n"/>
      <c r="R604" s="61" t="n"/>
      <c r="S604" s="61" t="n"/>
      <c r="T604" s="61" t="n"/>
      <c r="U604" s="61" t="n"/>
      <c r="V604" s="61" t="n"/>
      <c r="W604" s="61" t="n"/>
      <c r="X604" s="61" t="n"/>
      <c r="Y604" s="61" t="n"/>
      <c r="Z604" s="61" t="n"/>
      <c r="AA604" s="61" t="n"/>
      <c r="AB604" s="61" t="n"/>
      <c r="AC604" s="61" t="n"/>
      <c r="AD604" s="61" t="n"/>
      <c r="AE604" s="61" t="n"/>
      <c r="AF604" s="61" t="n"/>
      <c r="AG604" s="61" t="n"/>
      <c r="AH604" s="61" t="n"/>
    </row>
    <row r="605" ht="15.75" customHeight="1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  <c r="M605" s="61" t="n"/>
      <c r="N605" s="61" t="n"/>
      <c r="O605" s="61" t="n"/>
      <c r="P605" s="61" t="n"/>
      <c r="Q605" s="61" t="n"/>
      <c r="R605" s="61" t="n"/>
      <c r="S605" s="61" t="n"/>
      <c r="T605" s="61" t="n"/>
      <c r="U605" s="61" t="n"/>
      <c r="V605" s="61" t="n"/>
      <c r="W605" s="61" t="n"/>
      <c r="X605" s="61" t="n"/>
      <c r="Y605" s="61" t="n"/>
      <c r="Z605" s="61" t="n"/>
      <c r="AA605" s="61" t="n"/>
      <c r="AB605" s="61" t="n"/>
      <c r="AC605" s="61" t="n"/>
      <c r="AD605" s="61" t="n"/>
      <c r="AE605" s="61" t="n"/>
      <c r="AF605" s="61" t="n"/>
      <c r="AG605" s="61" t="n"/>
      <c r="AH605" s="61" t="n"/>
    </row>
    <row r="606" ht="15.75" customHeight="1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  <c r="M606" s="61" t="n"/>
      <c r="N606" s="61" t="n"/>
      <c r="O606" s="61" t="n"/>
      <c r="P606" s="61" t="n"/>
      <c r="Q606" s="61" t="n"/>
      <c r="R606" s="61" t="n"/>
      <c r="S606" s="61" t="n"/>
      <c r="T606" s="61" t="n"/>
      <c r="U606" s="61" t="n"/>
      <c r="V606" s="61" t="n"/>
      <c r="W606" s="61" t="n"/>
      <c r="X606" s="61" t="n"/>
      <c r="Y606" s="61" t="n"/>
      <c r="Z606" s="61" t="n"/>
      <c r="AA606" s="61" t="n"/>
      <c r="AB606" s="61" t="n"/>
      <c r="AC606" s="61" t="n"/>
      <c r="AD606" s="61" t="n"/>
      <c r="AE606" s="61" t="n"/>
      <c r="AF606" s="61" t="n"/>
      <c r="AG606" s="61" t="n"/>
      <c r="AH606" s="61" t="n"/>
    </row>
    <row r="607" ht="15.75" customHeight="1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  <c r="M607" s="61" t="n"/>
      <c r="N607" s="61" t="n"/>
      <c r="O607" s="61" t="n"/>
      <c r="P607" s="61" t="n"/>
      <c r="Q607" s="61" t="n"/>
      <c r="R607" s="61" t="n"/>
      <c r="S607" s="61" t="n"/>
      <c r="T607" s="61" t="n"/>
      <c r="U607" s="61" t="n"/>
      <c r="V607" s="61" t="n"/>
      <c r="W607" s="61" t="n"/>
      <c r="X607" s="61" t="n"/>
      <c r="Y607" s="61" t="n"/>
      <c r="Z607" s="61" t="n"/>
      <c r="AA607" s="61" t="n"/>
      <c r="AB607" s="61" t="n"/>
      <c r="AC607" s="61" t="n"/>
      <c r="AD607" s="61" t="n"/>
      <c r="AE607" s="61" t="n"/>
      <c r="AF607" s="61" t="n"/>
      <c r="AG607" s="61" t="n"/>
      <c r="AH607" s="61" t="n"/>
    </row>
    <row r="608" ht="15.75" customHeight="1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  <c r="M608" s="61" t="n"/>
      <c r="N608" s="61" t="n"/>
      <c r="O608" s="61" t="n"/>
      <c r="P608" s="61" t="n"/>
      <c r="Q608" s="61" t="n"/>
      <c r="R608" s="61" t="n"/>
      <c r="S608" s="61" t="n"/>
      <c r="T608" s="61" t="n"/>
      <c r="U608" s="61" t="n"/>
      <c r="V608" s="61" t="n"/>
      <c r="W608" s="61" t="n"/>
      <c r="X608" s="61" t="n"/>
      <c r="Y608" s="61" t="n"/>
      <c r="Z608" s="61" t="n"/>
      <c r="AA608" s="61" t="n"/>
      <c r="AB608" s="61" t="n"/>
      <c r="AC608" s="61" t="n"/>
      <c r="AD608" s="61" t="n"/>
      <c r="AE608" s="61" t="n"/>
      <c r="AF608" s="61" t="n"/>
      <c r="AG608" s="61" t="n"/>
      <c r="AH608" s="61" t="n"/>
    </row>
    <row r="609" ht="15.75" customHeight="1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  <c r="M609" s="61" t="n"/>
      <c r="N609" s="61" t="n"/>
      <c r="O609" s="61" t="n"/>
      <c r="P609" s="61" t="n"/>
      <c r="Q609" s="61" t="n"/>
      <c r="R609" s="61" t="n"/>
      <c r="S609" s="61" t="n"/>
      <c r="T609" s="61" t="n"/>
      <c r="U609" s="61" t="n"/>
      <c r="V609" s="61" t="n"/>
      <c r="W609" s="61" t="n"/>
      <c r="X609" s="61" t="n"/>
      <c r="Y609" s="61" t="n"/>
      <c r="Z609" s="61" t="n"/>
      <c r="AA609" s="61" t="n"/>
      <c r="AB609" s="61" t="n"/>
      <c r="AC609" s="61" t="n"/>
      <c r="AD609" s="61" t="n"/>
      <c r="AE609" s="61" t="n"/>
      <c r="AF609" s="61" t="n"/>
      <c r="AG609" s="61" t="n"/>
      <c r="AH609" s="61" t="n"/>
    </row>
    <row r="610" ht="15.75" customHeight="1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  <c r="M610" s="61" t="n"/>
      <c r="N610" s="61" t="n"/>
      <c r="O610" s="61" t="n"/>
      <c r="P610" s="61" t="n"/>
      <c r="Q610" s="61" t="n"/>
      <c r="R610" s="61" t="n"/>
      <c r="S610" s="61" t="n"/>
      <c r="T610" s="61" t="n"/>
      <c r="U610" s="61" t="n"/>
      <c r="V610" s="61" t="n"/>
      <c r="W610" s="61" t="n"/>
      <c r="X610" s="61" t="n"/>
      <c r="Y610" s="61" t="n"/>
      <c r="Z610" s="61" t="n"/>
      <c r="AA610" s="61" t="n"/>
      <c r="AB610" s="61" t="n"/>
      <c r="AC610" s="61" t="n"/>
      <c r="AD610" s="61" t="n"/>
      <c r="AE610" s="61" t="n"/>
      <c r="AF610" s="61" t="n"/>
      <c r="AG610" s="61" t="n"/>
      <c r="AH610" s="61" t="n"/>
    </row>
    <row r="611" ht="15.75" customHeight="1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  <c r="M611" s="61" t="n"/>
      <c r="N611" s="61" t="n"/>
      <c r="O611" s="61" t="n"/>
      <c r="P611" s="61" t="n"/>
      <c r="Q611" s="61" t="n"/>
      <c r="R611" s="61" t="n"/>
      <c r="S611" s="61" t="n"/>
      <c r="T611" s="61" t="n"/>
      <c r="U611" s="61" t="n"/>
      <c r="V611" s="61" t="n"/>
      <c r="W611" s="61" t="n"/>
      <c r="X611" s="61" t="n"/>
      <c r="Y611" s="61" t="n"/>
      <c r="Z611" s="61" t="n"/>
      <c r="AA611" s="61" t="n"/>
      <c r="AB611" s="61" t="n"/>
      <c r="AC611" s="61" t="n"/>
      <c r="AD611" s="61" t="n"/>
      <c r="AE611" s="61" t="n"/>
      <c r="AF611" s="61" t="n"/>
      <c r="AG611" s="61" t="n"/>
      <c r="AH611" s="61" t="n"/>
    </row>
    <row r="612" ht="15.75" customHeight="1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  <c r="M612" s="61" t="n"/>
      <c r="N612" s="61" t="n"/>
      <c r="O612" s="61" t="n"/>
      <c r="P612" s="61" t="n"/>
      <c r="Q612" s="61" t="n"/>
      <c r="R612" s="61" t="n"/>
      <c r="S612" s="61" t="n"/>
      <c r="T612" s="61" t="n"/>
      <c r="U612" s="61" t="n"/>
      <c r="V612" s="61" t="n"/>
      <c r="W612" s="61" t="n"/>
      <c r="X612" s="61" t="n"/>
      <c r="Y612" s="61" t="n"/>
      <c r="Z612" s="61" t="n"/>
      <c r="AA612" s="61" t="n"/>
      <c r="AB612" s="61" t="n"/>
      <c r="AC612" s="61" t="n"/>
      <c r="AD612" s="61" t="n"/>
      <c r="AE612" s="61" t="n"/>
      <c r="AF612" s="61" t="n"/>
      <c r="AG612" s="61" t="n"/>
      <c r="AH612" s="61" t="n"/>
    </row>
    <row r="613" ht="15.75" customHeight="1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  <c r="M613" s="61" t="n"/>
      <c r="N613" s="61" t="n"/>
      <c r="O613" s="61" t="n"/>
      <c r="P613" s="61" t="n"/>
      <c r="Q613" s="61" t="n"/>
      <c r="R613" s="61" t="n"/>
      <c r="S613" s="61" t="n"/>
      <c r="T613" s="61" t="n"/>
      <c r="U613" s="61" t="n"/>
      <c r="V613" s="61" t="n"/>
      <c r="W613" s="61" t="n"/>
      <c r="X613" s="61" t="n"/>
      <c r="Y613" s="61" t="n"/>
      <c r="Z613" s="61" t="n"/>
      <c r="AA613" s="61" t="n"/>
      <c r="AB613" s="61" t="n"/>
      <c r="AC613" s="61" t="n"/>
      <c r="AD613" s="61" t="n"/>
      <c r="AE613" s="61" t="n"/>
      <c r="AF613" s="61" t="n"/>
      <c r="AG613" s="61" t="n"/>
      <c r="AH613" s="61" t="n"/>
    </row>
    <row r="614" ht="15.75" customHeight="1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  <c r="M614" s="61" t="n"/>
      <c r="N614" s="61" t="n"/>
      <c r="O614" s="61" t="n"/>
      <c r="P614" s="61" t="n"/>
      <c r="Q614" s="61" t="n"/>
      <c r="R614" s="61" t="n"/>
      <c r="S614" s="61" t="n"/>
      <c r="T614" s="61" t="n"/>
      <c r="U614" s="61" t="n"/>
      <c r="V614" s="61" t="n"/>
      <c r="W614" s="61" t="n"/>
      <c r="X614" s="61" t="n"/>
      <c r="Y614" s="61" t="n"/>
      <c r="Z614" s="61" t="n"/>
      <c r="AA614" s="61" t="n"/>
      <c r="AB614" s="61" t="n"/>
      <c r="AC614" s="61" t="n"/>
      <c r="AD614" s="61" t="n"/>
      <c r="AE614" s="61" t="n"/>
      <c r="AF614" s="61" t="n"/>
      <c r="AG614" s="61" t="n"/>
      <c r="AH614" s="61" t="n"/>
    </row>
    <row r="615" ht="15.75" customHeight="1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  <c r="M615" s="61" t="n"/>
      <c r="N615" s="61" t="n"/>
      <c r="O615" s="61" t="n"/>
      <c r="P615" s="61" t="n"/>
      <c r="Q615" s="61" t="n"/>
      <c r="R615" s="61" t="n"/>
      <c r="S615" s="61" t="n"/>
      <c r="T615" s="61" t="n"/>
      <c r="U615" s="61" t="n"/>
      <c r="V615" s="61" t="n"/>
      <c r="W615" s="61" t="n"/>
      <c r="X615" s="61" t="n"/>
      <c r="Y615" s="61" t="n"/>
      <c r="Z615" s="61" t="n"/>
      <c r="AA615" s="61" t="n"/>
      <c r="AB615" s="61" t="n"/>
      <c r="AC615" s="61" t="n"/>
      <c r="AD615" s="61" t="n"/>
      <c r="AE615" s="61" t="n"/>
      <c r="AF615" s="61" t="n"/>
      <c r="AG615" s="61" t="n"/>
      <c r="AH615" s="61" t="n"/>
    </row>
    <row r="616" ht="15.75" customHeight="1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  <c r="M616" s="61" t="n"/>
      <c r="N616" s="61" t="n"/>
      <c r="O616" s="61" t="n"/>
      <c r="P616" s="61" t="n"/>
      <c r="Q616" s="61" t="n"/>
      <c r="R616" s="61" t="n"/>
      <c r="S616" s="61" t="n"/>
      <c r="T616" s="61" t="n"/>
      <c r="U616" s="61" t="n"/>
      <c r="V616" s="61" t="n"/>
      <c r="W616" s="61" t="n"/>
      <c r="X616" s="61" t="n"/>
      <c r="Y616" s="61" t="n"/>
      <c r="Z616" s="61" t="n"/>
      <c r="AA616" s="61" t="n"/>
      <c r="AB616" s="61" t="n"/>
      <c r="AC616" s="61" t="n"/>
      <c r="AD616" s="61" t="n"/>
      <c r="AE616" s="61" t="n"/>
      <c r="AF616" s="61" t="n"/>
      <c r="AG616" s="61" t="n"/>
      <c r="AH616" s="61" t="n"/>
    </row>
    <row r="617" ht="15.75" customHeight="1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  <c r="M617" s="61" t="n"/>
      <c r="N617" s="61" t="n"/>
      <c r="O617" s="61" t="n"/>
      <c r="P617" s="61" t="n"/>
      <c r="Q617" s="61" t="n"/>
      <c r="R617" s="61" t="n"/>
      <c r="S617" s="61" t="n"/>
      <c r="T617" s="61" t="n"/>
      <c r="U617" s="61" t="n"/>
      <c r="V617" s="61" t="n"/>
      <c r="W617" s="61" t="n"/>
      <c r="X617" s="61" t="n"/>
      <c r="Y617" s="61" t="n"/>
      <c r="Z617" s="61" t="n"/>
      <c r="AA617" s="61" t="n"/>
      <c r="AB617" s="61" t="n"/>
      <c r="AC617" s="61" t="n"/>
      <c r="AD617" s="61" t="n"/>
      <c r="AE617" s="61" t="n"/>
      <c r="AF617" s="61" t="n"/>
      <c r="AG617" s="61" t="n"/>
      <c r="AH617" s="61" t="n"/>
    </row>
    <row r="618" ht="15.75" customHeight="1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  <c r="M618" s="61" t="n"/>
      <c r="N618" s="61" t="n"/>
      <c r="O618" s="61" t="n"/>
      <c r="P618" s="61" t="n"/>
      <c r="Q618" s="61" t="n"/>
      <c r="R618" s="61" t="n"/>
      <c r="S618" s="61" t="n"/>
      <c r="T618" s="61" t="n"/>
      <c r="U618" s="61" t="n"/>
      <c r="V618" s="61" t="n"/>
      <c r="W618" s="61" t="n"/>
      <c r="X618" s="61" t="n"/>
      <c r="Y618" s="61" t="n"/>
      <c r="Z618" s="61" t="n"/>
      <c r="AA618" s="61" t="n"/>
      <c r="AB618" s="61" t="n"/>
      <c r="AC618" s="61" t="n"/>
      <c r="AD618" s="61" t="n"/>
      <c r="AE618" s="61" t="n"/>
      <c r="AF618" s="61" t="n"/>
      <c r="AG618" s="61" t="n"/>
      <c r="AH618" s="61" t="n"/>
    </row>
    <row r="619" ht="15.75" customHeight="1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  <c r="M619" s="61" t="n"/>
      <c r="N619" s="61" t="n"/>
      <c r="O619" s="61" t="n"/>
      <c r="P619" s="61" t="n"/>
      <c r="Q619" s="61" t="n"/>
      <c r="R619" s="61" t="n"/>
      <c r="S619" s="61" t="n"/>
      <c r="T619" s="61" t="n"/>
      <c r="U619" s="61" t="n"/>
      <c r="V619" s="61" t="n"/>
      <c r="W619" s="61" t="n"/>
      <c r="X619" s="61" t="n"/>
      <c r="Y619" s="61" t="n"/>
      <c r="Z619" s="61" t="n"/>
      <c r="AA619" s="61" t="n"/>
      <c r="AB619" s="61" t="n"/>
      <c r="AC619" s="61" t="n"/>
      <c r="AD619" s="61" t="n"/>
      <c r="AE619" s="61" t="n"/>
      <c r="AF619" s="61" t="n"/>
      <c r="AG619" s="61" t="n"/>
      <c r="AH619" s="61" t="n"/>
    </row>
    <row r="620" ht="15.75" customHeight="1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  <c r="M620" s="61" t="n"/>
      <c r="N620" s="61" t="n"/>
      <c r="O620" s="61" t="n"/>
      <c r="P620" s="61" t="n"/>
      <c r="Q620" s="61" t="n"/>
      <c r="R620" s="61" t="n"/>
      <c r="S620" s="61" t="n"/>
      <c r="T620" s="61" t="n"/>
      <c r="U620" s="61" t="n"/>
      <c r="V620" s="61" t="n"/>
      <c r="W620" s="61" t="n"/>
      <c r="X620" s="61" t="n"/>
      <c r="Y620" s="61" t="n"/>
      <c r="Z620" s="61" t="n"/>
      <c r="AA620" s="61" t="n"/>
      <c r="AB620" s="61" t="n"/>
      <c r="AC620" s="61" t="n"/>
      <c r="AD620" s="61" t="n"/>
      <c r="AE620" s="61" t="n"/>
      <c r="AF620" s="61" t="n"/>
      <c r="AG620" s="61" t="n"/>
      <c r="AH620" s="61" t="n"/>
    </row>
    <row r="621" ht="15.75" customHeight="1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  <c r="M621" s="61" t="n"/>
      <c r="N621" s="61" t="n"/>
      <c r="O621" s="61" t="n"/>
      <c r="P621" s="61" t="n"/>
      <c r="Q621" s="61" t="n"/>
      <c r="R621" s="61" t="n"/>
      <c r="S621" s="61" t="n"/>
      <c r="T621" s="61" t="n"/>
      <c r="U621" s="61" t="n"/>
      <c r="V621" s="61" t="n"/>
      <c r="W621" s="61" t="n"/>
      <c r="X621" s="61" t="n"/>
      <c r="Y621" s="61" t="n"/>
      <c r="Z621" s="61" t="n"/>
      <c r="AA621" s="61" t="n"/>
      <c r="AB621" s="61" t="n"/>
      <c r="AC621" s="61" t="n"/>
      <c r="AD621" s="61" t="n"/>
      <c r="AE621" s="61" t="n"/>
      <c r="AF621" s="61" t="n"/>
      <c r="AG621" s="61" t="n"/>
      <c r="AH621" s="61" t="n"/>
    </row>
    <row r="622" ht="15.75" customHeight="1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  <c r="M622" s="61" t="n"/>
      <c r="N622" s="61" t="n"/>
      <c r="O622" s="61" t="n"/>
      <c r="P622" s="61" t="n"/>
      <c r="Q622" s="61" t="n"/>
      <c r="R622" s="61" t="n"/>
      <c r="S622" s="61" t="n"/>
      <c r="T622" s="61" t="n"/>
      <c r="U622" s="61" t="n"/>
      <c r="V622" s="61" t="n"/>
      <c r="W622" s="61" t="n"/>
      <c r="X622" s="61" t="n"/>
      <c r="Y622" s="61" t="n"/>
      <c r="Z622" s="61" t="n"/>
      <c r="AA622" s="61" t="n"/>
      <c r="AB622" s="61" t="n"/>
      <c r="AC622" s="61" t="n"/>
      <c r="AD622" s="61" t="n"/>
      <c r="AE622" s="61" t="n"/>
      <c r="AF622" s="61" t="n"/>
      <c r="AG622" s="61" t="n"/>
      <c r="AH622" s="61" t="n"/>
    </row>
    <row r="623" ht="15.75" customHeight="1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  <c r="M623" s="61" t="n"/>
      <c r="N623" s="61" t="n"/>
      <c r="O623" s="61" t="n"/>
      <c r="P623" s="61" t="n"/>
      <c r="Q623" s="61" t="n"/>
      <c r="R623" s="61" t="n"/>
      <c r="S623" s="61" t="n"/>
      <c r="T623" s="61" t="n"/>
      <c r="U623" s="61" t="n"/>
      <c r="V623" s="61" t="n"/>
      <c r="W623" s="61" t="n"/>
      <c r="X623" s="61" t="n"/>
      <c r="Y623" s="61" t="n"/>
      <c r="Z623" s="61" t="n"/>
      <c r="AA623" s="61" t="n"/>
      <c r="AB623" s="61" t="n"/>
      <c r="AC623" s="61" t="n"/>
      <c r="AD623" s="61" t="n"/>
      <c r="AE623" s="61" t="n"/>
      <c r="AF623" s="61" t="n"/>
      <c r="AG623" s="61" t="n"/>
      <c r="AH623" s="61" t="n"/>
    </row>
    <row r="624" ht="15.75" customHeight="1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  <c r="M624" s="61" t="n"/>
      <c r="N624" s="61" t="n"/>
      <c r="O624" s="61" t="n"/>
      <c r="P624" s="61" t="n"/>
      <c r="Q624" s="61" t="n"/>
      <c r="R624" s="61" t="n"/>
      <c r="S624" s="61" t="n"/>
      <c r="T624" s="61" t="n"/>
      <c r="U624" s="61" t="n"/>
      <c r="V624" s="61" t="n"/>
      <c r="W624" s="61" t="n"/>
      <c r="X624" s="61" t="n"/>
      <c r="Y624" s="61" t="n"/>
      <c r="Z624" s="61" t="n"/>
      <c r="AA624" s="61" t="n"/>
      <c r="AB624" s="61" t="n"/>
      <c r="AC624" s="61" t="n"/>
      <c r="AD624" s="61" t="n"/>
      <c r="AE624" s="61" t="n"/>
      <c r="AF624" s="61" t="n"/>
      <c r="AG624" s="61" t="n"/>
      <c r="AH624" s="61" t="n"/>
    </row>
    <row r="625" ht="15.75" customHeight="1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  <c r="M625" s="61" t="n"/>
      <c r="N625" s="61" t="n"/>
      <c r="O625" s="61" t="n"/>
      <c r="P625" s="61" t="n"/>
      <c r="Q625" s="61" t="n"/>
      <c r="R625" s="61" t="n"/>
      <c r="S625" s="61" t="n"/>
      <c r="T625" s="61" t="n"/>
      <c r="U625" s="61" t="n"/>
      <c r="V625" s="61" t="n"/>
      <c r="W625" s="61" t="n"/>
      <c r="X625" s="61" t="n"/>
      <c r="Y625" s="61" t="n"/>
      <c r="Z625" s="61" t="n"/>
      <c r="AA625" s="61" t="n"/>
      <c r="AB625" s="61" t="n"/>
      <c r="AC625" s="61" t="n"/>
      <c r="AD625" s="61" t="n"/>
      <c r="AE625" s="61" t="n"/>
      <c r="AF625" s="61" t="n"/>
      <c r="AG625" s="61" t="n"/>
      <c r="AH625" s="61" t="n"/>
    </row>
    <row r="626" ht="15.75" customHeight="1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  <c r="M626" s="61" t="n"/>
      <c r="N626" s="61" t="n"/>
      <c r="O626" s="61" t="n"/>
      <c r="P626" s="61" t="n"/>
      <c r="Q626" s="61" t="n"/>
      <c r="R626" s="61" t="n"/>
      <c r="S626" s="61" t="n"/>
      <c r="T626" s="61" t="n"/>
      <c r="U626" s="61" t="n"/>
      <c r="V626" s="61" t="n"/>
      <c r="W626" s="61" t="n"/>
      <c r="X626" s="61" t="n"/>
      <c r="Y626" s="61" t="n"/>
      <c r="Z626" s="61" t="n"/>
      <c r="AA626" s="61" t="n"/>
      <c r="AB626" s="61" t="n"/>
      <c r="AC626" s="61" t="n"/>
      <c r="AD626" s="61" t="n"/>
      <c r="AE626" s="61" t="n"/>
      <c r="AF626" s="61" t="n"/>
      <c r="AG626" s="61" t="n"/>
      <c r="AH626" s="61" t="n"/>
    </row>
    <row r="627" ht="15.75" customHeight="1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  <c r="M627" s="61" t="n"/>
      <c r="N627" s="61" t="n"/>
      <c r="O627" s="61" t="n"/>
      <c r="P627" s="61" t="n"/>
      <c r="Q627" s="61" t="n"/>
      <c r="R627" s="61" t="n"/>
      <c r="S627" s="61" t="n"/>
      <c r="T627" s="61" t="n"/>
      <c r="U627" s="61" t="n"/>
      <c r="V627" s="61" t="n"/>
      <c r="W627" s="61" t="n"/>
      <c r="X627" s="61" t="n"/>
      <c r="Y627" s="61" t="n"/>
      <c r="Z627" s="61" t="n"/>
      <c r="AA627" s="61" t="n"/>
      <c r="AB627" s="61" t="n"/>
      <c r="AC627" s="61" t="n"/>
      <c r="AD627" s="61" t="n"/>
      <c r="AE627" s="61" t="n"/>
      <c r="AF627" s="61" t="n"/>
      <c r="AG627" s="61" t="n"/>
      <c r="AH627" s="61" t="n"/>
    </row>
    <row r="628" ht="15.75" customHeight="1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  <c r="M628" s="61" t="n"/>
      <c r="N628" s="61" t="n"/>
      <c r="O628" s="61" t="n"/>
      <c r="P628" s="61" t="n"/>
      <c r="Q628" s="61" t="n"/>
      <c r="R628" s="61" t="n"/>
      <c r="S628" s="61" t="n"/>
      <c r="T628" s="61" t="n"/>
      <c r="U628" s="61" t="n"/>
      <c r="V628" s="61" t="n"/>
      <c r="W628" s="61" t="n"/>
      <c r="X628" s="61" t="n"/>
      <c r="Y628" s="61" t="n"/>
      <c r="Z628" s="61" t="n"/>
      <c r="AA628" s="61" t="n"/>
      <c r="AB628" s="61" t="n"/>
      <c r="AC628" s="61" t="n"/>
      <c r="AD628" s="61" t="n"/>
      <c r="AE628" s="61" t="n"/>
      <c r="AF628" s="61" t="n"/>
      <c r="AG628" s="61" t="n"/>
      <c r="AH628" s="61" t="n"/>
    </row>
    <row r="629" ht="15.75" customHeight="1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  <c r="M629" s="61" t="n"/>
      <c r="N629" s="61" t="n"/>
      <c r="O629" s="61" t="n"/>
      <c r="P629" s="61" t="n"/>
      <c r="Q629" s="61" t="n"/>
      <c r="R629" s="61" t="n"/>
      <c r="S629" s="61" t="n"/>
      <c r="T629" s="61" t="n"/>
      <c r="U629" s="61" t="n"/>
      <c r="V629" s="61" t="n"/>
      <c r="W629" s="61" t="n"/>
      <c r="X629" s="61" t="n"/>
      <c r="Y629" s="61" t="n"/>
      <c r="Z629" s="61" t="n"/>
      <c r="AA629" s="61" t="n"/>
      <c r="AB629" s="61" t="n"/>
      <c r="AC629" s="61" t="n"/>
      <c r="AD629" s="61" t="n"/>
      <c r="AE629" s="61" t="n"/>
      <c r="AF629" s="61" t="n"/>
      <c r="AG629" s="61" t="n"/>
      <c r="AH629" s="61" t="n"/>
    </row>
    <row r="630" ht="15.75" customHeight="1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  <c r="M630" s="61" t="n"/>
      <c r="N630" s="61" t="n"/>
      <c r="O630" s="61" t="n"/>
      <c r="P630" s="61" t="n"/>
      <c r="Q630" s="61" t="n"/>
      <c r="R630" s="61" t="n"/>
      <c r="S630" s="61" t="n"/>
      <c r="T630" s="61" t="n"/>
      <c r="U630" s="61" t="n"/>
      <c r="V630" s="61" t="n"/>
      <c r="W630" s="61" t="n"/>
      <c r="X630" s="61" t="n"/>
      <c r="Y630" s="61" t="n"/>
      <c r="Z630" s="61" t="n"/>
      <c r="AA630" s="61" t="n"/>
      <c r="AB630" s="61" t="n"/>
      <c r="AC630" s="61" t="n"/>
      <c r="AD630" s="61" t="n"/>
      <c r="AE630" s="61" t="n"/>
      <c r="AF630" s="61" t="n"/>
      <c r="AG630" s="61" t="n"/>
      <c r="AH630" s="61" t="n"/>
    </row>
    <row r="631" ht="15.75" customHeight="1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  <c r="M631" s="61" t="n"/>
      <c r="N631" s="61" t="n"/>
      <c r="O631" s="61" t="n"/>
      <c r="P631" s="61" t="n"/>
      <c r="Q631" s="61" t="n"/>
      <c r="R631" s="61" t="n"/>
      <c r="S631" s="61" t="n"/>
      <c r="T631" s="61" t="n"/>
      <c r="U631" s="61" t="n"/>
      <c r="V631" s="61" t="n"/>
      <c r="W631" s="61" t="n"/>
      <c r="X631" s="61" t="n"/>
      <c r="Y631" s="61" t="n"/>
      <c r="Z631" s="61" t="n"/>
      <c r="AA631" s="61" t="n"/>
      <c r="AB631" s="61" t="n"/>
      <c r="AC631" s="61" t="n"/>
      <c r="AD631" s="61" t="n"/>
      <c r="AE631" s="61" t="n"/>
      <c r="AF631" s="61" t="n"/>
      <c r="AG631" s="61" t="n"/>
      <c r="AH631" s="61" t="n"/>
    </row>
    <row r="632" ht="15.75" customHeight="1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  <c r="M632" s="61" t="n"/>
      <c r="N632" s="61" t="n"/>
      <c r="O632" s="61" t="n"/>
      <c r="P632" s="61" t="n"/>
      <c r="Q632" s="61" t="n"/>
      <c r="R632" s="61" t="n"/>
      <c r="S632" s="61" t="n"/>
      <c r="T632" s="61" t="n"/>
      <c r="U632" s="61" t="n"/>
      <c r="V632" s="61" t="n"/>
      <c r="W632" s="61" t="n"/>
      <c r="X632" s="61" t="n"/>
      <c r="Y632" s="61" t="n"/>
      <c r="Z632" s="61" t="n"/>
      <c r="AA632" s="61" t="n"/>
      <c r="AB632" s="61" t="n"/>
      <c r="AC632" s="61" t="n"/>
      <c r="AD632" s="61" t="n"/>
      <c r="AE632" s="61" t="n"/>
      <c r="AF632" s="61" t="n"/>
      <c r="AG632" s="61" t="n"/>
      <c r="AH632" s="61" t="n"/>
    </row>
    <row r="633" ht="15.75" customHeight="1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  <c r="M633" s="61" t="n"/>
      <c r="N633" s="61" t="n"/>
      <c r="O633" s="61" t="n"/>
      <c r="P633" s="61" t="n"/>
      <c r="Q633" s="61" t="n"/>
      <c r="R633" s="61" t="n"/>
      <c r="S633" s="61" t="n"/>
      <c r="T633" s="61" t="n"/>
      <c r="U633" s="61" t="n"/>
      <c r="V633" s="61" t="n"/>
      <c r="W633" s="61" t="n"/>
      <c r="X633" s="61" t="n"/>
      <c r="Y633" s="61" t="n"/>
      <c r="Z633" s="61" t="n"/>
      <c r="AA633" s="61" t="n"/>
      <c r="AB633" s="61" t="n"/>
      <c r="AC633" s="61" t="n"/>
      <c r="AD633" s="61" t="n"/>
      <c r="AE633" s="61" t="n"/>
      <c r="AF633" s="61" t="n"/>
      <c r="AG633" s="61" t="n"/>
      <c r="AH633" s="61" t="n"/>
    </row>
    <row r="634" ht="15.75" customHeight="1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  <c r="M634" s="61" t="n"/>
      <c r="N634" s="61" t="n"/>
      <c r="O634" s="61" t="n"/>
      <c r="P634" s="61" t="n"/>
      <c r="Q634" s="61" t="n"/>
      <c r="R634" s="61" t="n"/>
      <c r="S634" s="61" t="n"/>
      <c r="T634" s="61" t="n"/>
      <c r="U634" s="61" t="n"/>
      <c r="V634" s="61" t="n"/>
      <c r="W634" s="61" t="n"/>
      <c r="X634" s="61" t="n"/>
      <c r="Y634" s="61" t="n"/>
      <c r="Z634" s="61" t="n"/>
      <c r="AA634" s="61" t="n"/>
      <c r="AB634" s="61" t="n"/>
      <c r="AC634" s="61" t="n"/>
      <c r="AD634" s="61" t="n"/>
      <c r="AE634" s="61" t="n"/>
      <c r="AF634" s="61" t="n"/>
      <c r="AG634" s="61" t="n"/>
      <c r="AH634" s="61" t="n"/>
    </row>
    <row r="635" ht="15.75" customHeight="1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  <c r="M635" s="61" t="n"/>
      <c r="N635" s="61" t="n"/>
      <c r="O635" s="61" t="n"/>
      <c r="P635" s="61" t="n"/>
      <c r="Q635" s="61" t="n"/>
      <c r="R635" s="61" t="n"/>
      <c r="S635" s="61" t="n"/>
      <c r="T635" s="61" t="n"/>
      <c r="U635" s="61" t="n"/>
      <c r="V635" s="61" t="n"/>
      <c r="W635" s="61" t="n"/>
      <c r="X635" s="61" t="n"/>
      <c r="Y635" s="61" t="n"/>
      <c r="Z635" s="61" t="n"/>
      <c r="AA635" s="61" t="n"/>
      <c r="AB635" s="61" t="n"/>
      <c r="AC635" s="61" t="n"/>
      <c r="AD635" s="61" t="n"/>
      <c r="AE635" s="61" t="n"/>
      <c r="AF635" s="61" t="n"/>
      <c r="AG635" s="61" t="n"/>
      <c r="AH635" s="61" t="n"/>
    </row>
    <row r="636" ht="15.75" customHeight="1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  <c r="M636" s="61" t="n"/>
      <c r="N636" s="61" t="n"/>
      <c r="O636" s="61" t="n"/>
      <c r="P636" s="61" t="n"/>
      <c r="Q636" s="61" t="n"/>
      <c r="R636" s="61" t="n"/>
      <c r="S636" s="61" t="n"/>
      <c r="T636" s="61" t="n"/>
      <c r="U636" s="61" t="n"/>
      <c r="V636" s="61" t="n"/>
      <c r="W636" s="61" t="n"/>
      <c r="X636" s="61" t="n"/>
      <c r="Y636" s="61" t="n"/>
      <c r="Z636" s="61" t="n"/>
      <c r="AA636" s="61" t="n"/>
      <c r="AB636" s="61" t="n"/>
      <c r="AC636" s="61" t="n"/>
      <c r="AD636" s="61" t="n"/>
      <c r="AE636" s="61" t="n"/>
      <c r="AF636" s="61" t="n"/>
      <c r="AG636" s="61" t="n"/>
      <c r="AH636" s="61" t="n"/>
    </row>
    <row r="637" ht="15.75" customHeight="1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  <c r="M637" s="61" t="n"/>
      <c r="N637" s="61" t="n"/>
      <c r="O637" s="61" t="n"/>
      <c r="P637" s="61" t="n"/>
      <c r="Q637" s="61" t="n"/>
      <c r="R637" s="61" t="n"/>
      <c r="S637" s="61" t="n"/>
      <c r="T637" s="61" t="n"/>
      <c r="U637" s="61" t="n"/>
      <c r="V637" s="61" t="n"/>
      <c r="W637" s="61" t="n"/>
      <c r="X637" s="61" t="n"/>
      <c r="Y637" s="61" t="n"/>
      <c r="Z637" s="61" t="n"/>
      <c r="AA637" s="61" t="n"/>
      <c r="AB637" s="61" t="n"/>
      <c r="AC637" s="61" t="n"/>
      <c r="AD637" s="61" t="n"/>
      <c r="AE637" s="61" t="n"/>
      <c r="AF637" s="61" t="n"/>
      <c r="AG637" s="61" t="n"/>
      <c r="AH637" s="61" t="n"/>
    </row>
    <row r="638" ht="15.75" customHeight="1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  <c r="M638" s="61" t="n"/>
      <c r="N638" s="61" t="n"/>
      <c r="O638" s="61" t="n"/>
      <c r="P638" s="61" t="n"/>
      <c r="Q638" s="61" t="n"/>
      <c r="R638" s="61" t="n"/>
      <c r="S638" s="61" t="n"/>
      <c r="T638" s="61" t="n"/>
      <c r="U638" s="61" t="n"/>
      <c r="V638" s="61" t="n"/>
      <c r="W638" s="61" t="n"/>
      <c r="X638" s="61" t="n"/>
      <c r="Y638" s="61" t="n"/>
      <c r="Z638" s="61" t="n"/>
      <c r="AA638" s="61" t="n"/>
      <c r="AB638" s="61" t="n"/>
      <c r="AC638" s="61" t="n"/>
      <c r="AD638" s="61" t="n"/>
      <c r="AE638" s="61" t="n"/>
      <c r="AF638" s="61" t="n"/>
      <c r="AG638" s="61" t="n"/>
      <c r="AH638" s="61" t="n"/>
    </row>
    <row r="639" ht="15.75" customHeight="1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  <c r="M639" s="61" t="n"/>
      <c r="N639" s="61" t="n"/>
      <c r="O639" s="61" t="n"/>
      <c r="P639" s="61" t="n"/>
      <c r="Q639" s="61" t="n"/>
      <c r="R639" s="61" t="n"/>
      <c r="S639" s="61" t="n"/>
      <c r="T639" s="61" t="n"/>
      <c r="U639" s="61" t="n"/>
      <c r="V639" s="61" t="n"/>
      <c r="W639" s="61" t="n"/>
      <c r="X639" s="61" t="n"/>
      <c r="Y639" s="61" t="n"/>
      <c r="Z639" s="61" t="n"/>
      <c r="AA639" s="61" t="n"/>
      <c r="AB639" s="61" t="n"/>
      <c r="AC639" s="61" t="n"/>
      <c r="AD639" s="61" t="n"/>
      <c r="AE639" s="61" t="n"/>
      <c r="AF639" s="61" t="n"/>
      <c r="AG639" s="61" t="n"/>
      <c r="AH639" s="61" t="n"/>
    </row>
    <row r="640" ht="15.75" customHeight="1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  <c r="M640" s="61" t="n"/>
      <c r="N640" s="61" t="n"/>
      <c r="O640" s="61" t="n"/>
      <c r="P640" s="61" t="n"/>
      <c r="Q640" s="61" t="n"/>
      <c r="R640" s="61" t="n"/>
      <c r="S640" s="61" t="n"/>
      <c r="T640" s="61" t="n"/>
      <c r="U640" s="61" t="n"/>
      <c r="V640" s="61" t="n"/>
      <c r="W640" s="61" t="n"/>
      <c r="X640" s="61" t="n"/>
      <c r="Y640" s="61" t="n"/>
      <c r="Z640" s="61" t="n"/>
      <c r="AA640" s="61" t="n"/>
      <c r="AB640" s="61" t="n"/>
      <c r="AC640" s="61" t="n"/>
      <c r="AD640" s="61" t="n"/>
      <c r="AE640" s="61" t="n"/>
      <c r="AF640" s="61" t="n"/>
      <c r="AG640" s="61" t="n"/>
      <c r="AH640" s="61" t="n"/>
    </row>
    <row r="641" ht="15.75" customHeight="1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  <c r="M641" s="61" t="n"/>
      <c r="N641" s="61" t="n"/>
      <c r="O641" s="61" t="n"/>
      <c r="P641" s="61" t="n"/>
      <c r="Q641" s="61" t="n"/>
      <c r="R641" s="61" t="n"/>
      <c r="S641" s="61" t="n"/>
      <c r="T641" s="61" t="n"/>
      <c r="U641" s="61" t="n"/>
      <c r="V641" s="61" t="n"/>
      <c r="W641" s="61" t="n"/>
      <c r="X641" s="61" t="n"/>
      <c r="Y641" s="61" t="n"/>
      <c r="Z641" s="61" t="n"/>
      <c r="AA641" s="61" t="n"/>
      <c r="AB641" s="61" t="n"/>
      <c r="AC641" s="61" t="n"/>
      <c r="AD641" s="61" t="n"/>
      <c r="AE641" s="61" t="n"/>
      <c r="AF641" s="61" t="n"/>
      <c r="AG641" s="61" t="n"/>
      <c r="AH641" s="61" t="n"/>
    </row>
    <row r="642" ht="15.75" customHeight="1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  <c r="M642" s="61" t="n"/>
      <c r="N642" s="61" t="n"/>
      <c r="O642" s="61" t="n"/>
      <c r="P642" s="61" t="n"/>
      <c r="Q642" s="61" t="n"/>
      <c r="R642" s="61" t="n"/>
      <c r="S642" s="61" t="n"/>
      <c r="T642" s="61" t="n"/>
      <c r="U642" s="61" t="n"/>
      <c r="V642" s="61" t="n"/>
      <c r="W642" s="61" t="n"/>
      <c r="X642" s="61" t="n"/>
      <c r="Y642" s="61" t="n"/>
      <c r="Z642" s="61" t="n"/>
      <c r="AA642" s="61" t="n"/>
      <c r="AB642" s="61" t="n"/>
      <c r="AC642" s="61" t="n"/>
      <c r="AD642" s="61" t="n"/>
      <c r="AE642" s="61" t="n"/>
      <c r="AF642" s="61" t="n"/>
      <c r="AG642" s="61" t="n"/>
      <c r="AH642" s="61" t="n"/>
    </row>
    <row r="643" ht="15.75" customHeight="1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  <c r="M643" s="61" t="n"/>
      <c r="N643" s="61" t="n"/>
      <c r="O643" s="61" t="n"/>
      <c r="P643" s="61" t="n"/>
      <c r="Q643" s="61" t="n"/>
      <c r="R643" s="61" t="n"/>
      <c r="S643" s="61" t="n"/>
      <c r="T643" s="61" t="n"/>
      <c r="U643" s="61" t="n"/>
      <c r="V643" s="61" t="n"/>
      <c r="W643" s="61" t="n"/>
      <c r="X643" s="61" t="n"/>
      <c r="Y643" s="61" t="n"/>
      <c r="Z643" s="61" t="n"/>
      <c r="AA643" s="61" t="n"/>
      <c r="AB643" s="61" t="n"/>
      <c r="AC643" s="61" t="n"/>
      <c r="AD643" s="61" t="n"/>
      <c r="AE643" s="61" t="n"/>
      <c r="AF643" s="61" t="n"/>
      <c r="AG643" s="61" t="n"/>
      <c r="AH643" s="61" t="n"/>
    </row>
    <row r="644" ht="15.75" customHeight="1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  <c r="M644" s="61" t="n"/>
      <c r="N644" s="61" t="n"/>
      <c r="O644" s="61" t="n"/>
      <c r="P644" s="61" t="n"/>
      <c r="Q644" s="61" t="n"/>
      <c r="R644" s="61" t="n"/>
      <c r="S644" s="61" t="n"/>
      <c r="T644" s="61" t="n"/>
      <c r="U644" s="61" t="n"/>
      <c r="V644" s="61" t="n"/>
      <c r="W644" s="61" t="n"/>
      <c r="X644" s="61" t="n"/>
      <c r="Y644" s="61" t="n"/>
      <c r="Z644" s="61" t="n"/>
      <c r="AA644" s="61" t="n"/>
      <c r="AB644" s="61" t="n"/>
      <c r="AC644" s="61" t="n"/>
      <c r="AD644" s="61" t="n"/>
      <c r="AE644" s="61" t="n"/>
      <c r="AF644" s="61" t="n"/>
      <c r="AG644" s="61" t="n"/>
      <c r="AH644" s="61" t="n"/>
    </row>
    <row r="645" ht="15.75" customHeight="1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  <c r="M645" s="61" t="n"/>
      <c r="N645" s="61" t="n"/>
      <c r="O645" s="61" t="n"/>
      <c r="P645" s="61" t="n"/>
      <c r="Q645" s="61" t="n"/>
      <c r="R645" s="61" t="n"/>
      <c r="S645" s="61" t="n"/>
      <c r="T645" s="61" t="n"/>
      <c r="U645" s="61" t="n"/>
      <c r="V645" s="61" t="n"/>
      <c r="W645" s="61" t="n"/>
      <c r="X645" s="61" t="n"/>
      <c r="Y645" s="61" t="n"/>
      <c r="Z645" s="61" t="n"/>
      <c r="AA645" s="61" t="n"/>
      <c r="AB645" s="61" t="n"/>
      <c r="AC645" s="61" t="n"/>
      <c r="AD645" s="61" t="n"/>
      <c r="AE645" s="61" t="n"/>
      <c r="AF645" s="61" t="n"/>
      <c r="AG645" s="61" t="n"/>
      <c r="AH645" s="61" t="n"/>
    </row>
    <row r="646" ht="15.75" customHeight="1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  <c r="M646" s="61" t="n"/>
      <c r="N646" s="61" t="n"/>
      <c r="O646" s="61" t="n"/>
      <c r="P646" s="61" t="n"/>
      <c r="Q646" s="61" t="n"/>
      <c r="R646" s="61" t="n"/>
      <c r="S646" s="61" t="n"/>
      <c r="T646" s="61" t="n"/>
      <c r="U646" s="61" t="n"/>
      <c r="V646" s="61" t="n"/>
      <c r="W646" s="61" t="n"/>
      <c r="X646" s="61" t="n"/>
      <c r="Y646" s="61" t="n"/>
      <c r="Z646" s="61" t="n"/>
      <c r="AA646" s="61" t="n"/>
      <c r="AB646" s="61" t="n"/>
      <c r="AC646" s="61" t="n"/>
      <c r="AD646" s="61" t="n"/>
      <c r="AE646" s="61" t="n"/>
      <c r="AF646" s="61" t="n"/>
      <c r="AG646" s="61" t="n"/>
      <c r="AH646" s="61" t="n"/>
    </row>
    <row r="647" ht="15.75" customHeight="1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  <c r="M647" s="61" t="n"/>
      <c r="N647" s="61" t="n"/>
      <c r="O647" s="61" t="n"/>
      <c r="P647" s="61" t="n"/>
      <c r="Q647" s="61" t="n"/>
      <c r="R647" s="61" t="n"/>
      <c r="S647" s="61" t="n"/>
      <c r="T647" s="61" t="n"/>
      <c r="U647" s="61" t="n"/>
      <c r="V647" s="61" t="n"/>
      <c r="W647" s="61" t="n"/>
      <c r="X647" s="61" t="n"/>
      <c r="Y647" s="61" t="n"/>
      <c r="Z647" s="61" t="n"/>
      <c r="AA647" s="61" t="n"/>
      <c r="AB647" s="61" t="n"/>
      <c r="AC647" s="61" t="n"/>
      <c r="AD647" s="61" t="n"/>
      <c r="AE647" s="61" t="n"/>
      <c r="AF647" s="61" t="n"/>
      <c r="AG647" s="61" t="n"/>
      <c r="AH647" s="61" t="n"/>
    </row>
    <row r="648" ht="15.75" customHeight="1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  <c r="M648" s="61" t="n"/>
      <c r="N648" s="61" t="n"/>
      <c r="O648" s="61" t="n"/>
      <c r="P648" s="61" t="n"/>
      <c r="Q648" s="61" t="n"/>
      <c r="R648" s="61" t="n"/>
      <c r="S648" s="61" t="n"/>
      <c r="T648" s="61" t="n"/>
      <c r="U648" s="61" t="n"/>
      <c r="V648" s="61" t="n"/>
      <c r="W648" s="61" t="n"/>
      <c r="X648" s="61" t="n"/>
      <c r="Y648" s="61" t="n"/>
      <c r="Z648" s="61" t="n"/>
      <c r="AA648" s="61" t="n"/>
      <c r="AB648" s="61" t="n"/>
      <c r="AC648" s="61" t="n"/>
      <c r="AD648" s="61" t="n"/>
      <c r="AE648" s="61" t="n"/>
      <c r="AF648" s="61" t="n"/>
      <c r="AG648" s="61" t="n"/>
      <c r="AH648" s="61" t="n"/>
    </row>
    <row r="649" ht="15.75" customHeight="1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  <c r="M649" s="61" t="n"/>
      <c r="N649" s="61" t="n"/>
      <c r="O649" s="61" t="n"/>
      <c r="P649" s="61" t="n"/>
      <c r="Q649" s="61" t="n"/>
      <c r="R649" s="61" t="n"/>
      <c r="S649" s="61" t="n"/>
      <c r="T649" s="61" t="n"/>
      <c r="U649" s="61" t="n"/>
      <c r="V649" s="61" t="n"/>
      <c r="W649" s="61" t="n"/>
      <c r="X649" s="61" t="n"/>
      <c r="Y649" s="61" t="n"/>
      <c r="Z649" s="61" t="n"/>
      <c r="AA649" s="61" t="n"/>
      <c r="AB649" s="61" t="n"/>
      <c r="AC649" s="61" t="n"/>
      <c r="AD649" s="61" t="n"/>
      <c r="AE649" s="61" t="n"/>
      <c r="AF649" s="61" t="n"/>
      <c r="AG649" s="61" t="n"/>
      <c r="AH649" s="61" t="n"/>
    </row>
    <row r="650" ht="15.75" customHeight="1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  <c r="M650" s="61" t="n"/>
      <c r="N650" s="61" t="n"/>
      <c r="O650" s="61" t="n"/>
      <c r="P650" s="61" t="n"/>
      <c r="Q650" s="61" t="n"/>
      <c r="R650" s="61" t="n"/>
      <c r="S650" s="61" t="n"/>
      <c r="T650" s="61" t="n"/>
      <c r="U650" s="61" t="n"/>
      <c r="V650" s="61" t="n"/>
      <c r="W650" s="61" t="n"/>
      <c r="X650" s="61" t="n"/>
      <c r="Y650" s="61" t="n"/>
      <c r="Z650" s="61" t="n"/>
      <c r="AA650" s="61" t="n"/>
      <c r="AB650" s="61" t="n"/>
      <c r="AC650" s="61" t="n"/>
      <c r="AD650" s="61" t="n"/>
      <c r="AE650" s="61" t="n"/>
      <c r="AF650" s="61" t="n"/>
      <c r="AG650" s="61" t="n"/>
      <c r="AH650" s="61" t="n"/>
    </row>
    <row r="651" ht="15.75" customHeight="1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  <c r="M651" s="61" t="n"/>
      <c r="N651" s="61" t="n"/>
      <c r="O651" s="61" t="n"/>
      <c r="P651" s="61" t="n"/>
      <c r="Q651" s="61" t="n"/>
      <c r="R651" s="61" t="n"/>
      <c r="S651" s="61" t="n"/>
      <c r="T651" s="61" t="n"/>
      <c r="U651" s="61" t="n"/>
      <c r="V651" s="61" t="n"/>
      <c r="W651" s="61" t="n"/>
      <c r="X651" s="61" t="n"/>
      <c r="Y651" s="61" t="n"/>
      <c r="Z651" s="61" t="n"/>
      <c r="AA651" s="61" t="n"/>
      <c r="AB651" s="61" t="n"/>
      <c r="AC651" s="61" t="n"/>
      <c r="AD651" s="61" t="n"/>
      <c r="AE651" s="61" t="n"/>
      <c r="AF651" s="61" t="n"/>
      <c r="AG651" s="61" t="n"/>
      <c r="AH651" s="61" t="n"/>
    </row>
    <row r="652" ht="15.75" customHeight="1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  <c r="M652" s="61" t="n"/>
      <c r="N652" s="61" t="n"/>
      <c r="O652" s="61" t="n"/>
      <c r="P652" s="61" t="n"/>
      <c r="Q652" s="61" t="n"/>
      <c r="R652" s="61" t="n"/>
      <c r="S652" s="61" t="n"/>
      <c r="T652" s="61" t="n"/>
      <c r="U652" s="61" t="n"/>
      <c r="V652" s="61" t="n"/>
      <c r="W652" s="61" t="n"/>
      <c r="X652" s="61" t="n"/>
      <c r="Y652" s="61" t="n"/>
      <c r="Z652" s="61" t="n"/>
      <c r="AA652" s="61" t="n"/>
      <c r="AB652" s="61" t="n"/>
      <c r="AC652" s="61" t="n"/>
      <c r="AD652" s="61" t="n"/>
      <c r="AE652" s="61" t="n"/>
      <c r="AF652" s="61" t="n"/>
      <c r="AG652" s="61" t="n"/>
      <c r="AH652" s="61" t="n"/>
    </row>
    <row r="653" ht="15.75" customHeight="1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  <c r="M653" s="61" t="n"/>
      <c r="N653" s="61" t="n"/>
      <c r="O653" s="61" t="n"/>
      <c r="P653" s="61" t="n"/>
      <c r="Q653" s="61" t="n"/>
      <c r="R653" s="61" t="n"/>
      <c r="S653" s="61" t="n"/>
      <c r="T653" s="61" t="n"/>
      <c r="U653" s="61" t="n"/>
      <c r="V653" s="61" t="n"/>
      <c r="W653" s="61" t="n"/>
      <c r="X653" s="61" t="n"/>
      <c r="Y653" s="61" t="n"/>
      <c r="Z653" s="61" t="n"/>
      <c r="AA653" s="61" t="n"/>
      <c r="AB653" s="61" t="n"/>
      <c r="AC653" s="61" t="n"/>
      <c r="AD653" s="61" t="n"/>
      <c r="AE653" s="61" t="n"/>
      <c r="AF653" s="61" t="n"/>
      <c r="AG653" s="61" t="n"/>
      <c r="AH653" s="61" t="n"/>
    </row>
    <row r="654" ht="15.75" customHeight="1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  <c r="M654" s="61" t="n"/>
      <c r="N654" s="61" t="n"/>
      <c r="O654" s="61" t="n"/>
      <c r="P654" s="61" t="n"/>
      <c r="Q654" s="61" t="n"/>
      <c r="R654" s="61" t="n"/>
      <c r="S654" s="61" t="n"/>
      <c r="T654" s="61" t="n"/>
      <c r="U654" s="61" t="n"/>
      <c r="V654" s="61" t="n"/>
      <c r="W654" s="61" t="n"/>
      <c r="X654" s="61" t="n"/>
      <c r="Y654" s="61" t="n"/>
      <c r="Z654" s="61" t="n"/>
      <c r="AA654" s="61" t="n"/>
      <c r="AB654" s="61" t="n"/>
      <c r="AC654" s="61" t="n"/>
      <c r="AD654" s="61" t="n"/>
      <c r="AE654" s="61" t="n"/>
      <c r="AF654" s="61" t="n"/>
      <c r="AG654" s="61" t="n"/>
      <c r="AH654" s="61" t="n"/>
    </row>
    <row r="655" ht="15.75" customHeight="1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  <c r="M655" s="61" t="n"/>
      <c r="N655" s="61" t="n"/>
      <c r="O655" s="61" t="n"/>
      <c r="P655" s="61" t="n"/>
      <c r="Q655" s="61" t="n"/>
      <c r="R655" s="61" t="n"/>
      <c r="S655" s="61" t="n"/>
      <c r="T655" s="61" t="n"/>
      <c r="U655" s="61" t="n"/>
      <c r="V655" s="61" t="n"/>
      <c r="W655" s="61" t="n"/>
      <c r="X655" s="61" t="n"/>
      <c r="Y655" s="61" t="n"/>
      <c r="Z655" s="61" t="n"/>
      <c r="AA655" s="61" t="n"/>
      <c r="AB655" s="61" t="n"/>
      <c r="AC655" s="61" t="n"/>
      <c r="AD655" s="61" t="n"/>
      <c r="AE655" s="61" t="n"/>
      <c r="AF655" s="61" t="n"/>
      <c r="AG655" s="61" t="n"/>
      <c r="AH655" s="61" t="n"/>
    </row>
    <row r="656" ht="15.75" customHeight="1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  <c r="M656" s="61" t="n"/>
      <c r="N656" s="61" t="n"/>
      <c r="O656" s="61" t="n"/>
      <c r="P656" s="61" t="n"/>
      <c r="Q656" s="61" t="n"/>
      <c r="R656" s="61" t="n"/>
      <c r="S656" s="61" t="n"/>
      <c r="T656" s="61" t="n"/>
      <c r="U656" s="61" t="n"/>
      <c r="V656" s="61" t="n"/>
      <c r="W656" s="61" t="n"/>
      <c r="X656" s="61" t="n"/>
      <c r="Y656" s="61" t="n"/>
      <c r="Z656" s="61" t="n"/>
      <c r="AA656" s="61" t="n"/>
      <c r="AB656" s="61" t="n"/>
      <c r="AC656" s="61" t="n"/>
      <c r="AD656" s="61" t="n"/>
      <c r="AE656" s="61" t="n"/>
      <c r="AF656" s="61" t="n"/>
      <c r="AG656" s="61" t="n"/>
      <c r="AH656" s="61" t="n"/>
    </row>
    <row r="657" ht="15.75" customHeight="1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  <c r="M657" s="61" t="n"/>
      <c r="N657" s="61" t="n"/>
      <c r="O657" s="61" t="n"/>
      <c r="P657" s="61" t="n"/>
      <c r="Q657" s="61" t="n"/>
      <c r="R657" s="61" t="n"/>
      <c r="S657" s="61" t="n"/>
      <c r="T657" s="61" t="n"/>
      <c r="U657" s="61" t="n"/>
      <c r="V657" s="61" t="n"/>
      <c r="W657" s="61" t="n"/>
      <c r="X657" s="61" t="n"/>
      <c r="Y657" s="61" t="n"/>
      <c r="Z657" s="61" t="n"/>
      <c r="AA657" s="61" t="n"/>
      <c r="AB657" s="61" t="n"/>
      <c r="AC657" s="61" t="n"/>
      <c r="AD657" s="61" t="n"/>
      <c r="AE657" s="61" t="n"/>
      <c r="AF657" s="61" t="n"/>
      <c r="AG657" s="61" t="n"/>
      <c r="AH657" s="61" t="n"/>
    </row>
    <row r="658" ht="15.75" customHeight="1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  <c r="M658" s="61" t="n"/>
      <c r="N658" s="61" t="n"/>
      <c r="O658" s="61" t="n"/>
      <c r="P658" s="61" t="n"/>
      <c r="Q658" s="61" t="n"/>
      <c r="R658" s="61" t="n"/>
      <c r="S658" s="61" t="n"/>
      <c r="T658" s="61" t="n"/>
      <c r="U658" s="61" t="n"/>
      <c r="V658" s="61" t="n"/>
      <c r="W658" s="61" t="n"/>
      <c r="X658" s="61" t="n"/>
      <c r="Y658" s="61" t="n"/>
      <c r="Z658" s="61" t="n"/>
      <c r="AA658" s="61" t="n"/>
      <c r="AB658" s="61" t="n"/>
      <c r="AC658" s="61" t="n"/>
      <c r="AD658" s="61" t="n"/>
      <c r="AE658" s="61" t="n"/>
      <c r="AF658" s="61" t="n"/>
      <c r="AG658" s="61" t="n"/>
      <c r="AH658" s="61" t="n"/>
    </row>
    <row r="659" ht="15.75" customHeight="1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  <c r="M659" s="61" t="n"/>
      <c r="N659" s="61" t="n"/>
      <c r="O659" s="61" t="n"/>
      <c r="P659" s="61" t="n"/>
      <c r="Q659" s="61" t="n"/>
      <c r="R659" s="61" t="n"/>
      <c r="S659" s="61" t="n"/>
      <c r="T659" s="61" t="n"/>
      <c r="U659" s="61" t="n"/>
      <c r="V659" s="61" t="n"/>
      <c r="W659" s="61" t="n"/>
      <c r="X659" s="61" t="n"/>
      <c r="Y659" s="61" t="n"/>
      <c r="Z659" s="61" t="n"/>
      <c r="AA659" s="61" t="n"/>
      <c r="AB659" s="61" t="n"/>
      <c r="AC659" s="61" t="n"/>
      <c r="AD659" s="61" t="n"/>
      <c r="AE659" s="61" t="n"/>
      <c r="AF659" s="61" t="n"/>
      <c r="AG659" s="61" t="n"/>
      <c r="AH659" s="61" t="n"/>
    </row>
    <row r="660" ht="15.75" customHeight="1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  <c r="M660" s="61" t="n"/>
      <c r="N660" s="61" t="n"/>
      <c r="O660" s="61" t="n"/>
      <c r="P660" s="61" t="n"/>
      <c r="Q660" s="61" t="n"/>
      <c r="R660" s="61" t="n"/>
      <c r="S660" s="61" t="n"/>
      <c r="T660" s="61" t="n"/>
      <c r="U660" s="61" t="n"/>
      <c r="V660" s="61" t="n"/>
      <c r="W660" s="61" t="n"/>
      <c r="X660" s="61" t="n"/>
      <c r="Y660" s="61" t="n"/>
      <c r="Z660" s="61" t="n"/>
      <c r="AA660" s="61" t="n"/>
      <c r="AB660" s="61" t="n"/>
      <c r="AC660" s="61" t="n"/>
      <c r="AD660" s="61" t="n"/>
      <c r="AE660" s="61" t="n"/>
      <c r="AF660" s="61" t="n"/>
      <c r="AG660" s="61" t="n"/>
      <c r="AH660" s="61" t="n"/>
    </row>
    <row r="661" ht="15.75" customHeight="1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  <c r="M661" s="61" t="n"/>
      <c r="N661" s="61" t="n"/>
      <c r="O661" s="61" t="n"/>
      <c r="P661" s="61" t="n"/>
      <c r="Q661" s="61" t="n"/>
      <c r="R661" s="61" t="n"/>
      <c r="S661" s="61" t="n"/>
      <c r="T661" s="61" t="n"/>
      <c r="U661" s="61" t="n"/>
      <c r="V661" s="61" t="n"/>
      <c r="W661" s="61" t="n"/>
      <c r="X661" s="61" t="n"/>
      <c r="Y661" s="61" t="n"/>
      <c r="Z661" s="61" t="n"/>
      <c r="AA661" s="61" t="n"/>
      <c r="AB661" s="61" t="n"/>
      <c r="AC661" s="61" t="n"/>
      <c r="AD661" s="61" t="n"/>
      <c r="AE661" s="61" t="n"/>
      <c r="AF661" s="61" t="n"/>
      <c r="AG661" s="61" t="n"/>
      <c r="AH661" s="61" t="n"/>
    </row>
    <row r="662" ht="15.75" customHeight="1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  <c r="M662" s="61" t="n"/>
      <c r="N662" s="61" t="n"/>
      <c r="O662" s="61" t="n"/>
      <c r="P662" s="61" t="n"/>
      <c r="Q662" s="61" t="n"/>
      <c r="R662" s="61" t="n"/>
      <c r="S662" s="61" t="n"/>
      <c r="T662" s="61" t="n"/>
      <c r="U662" s="61" t="n"/>
      <c r="V662" s="61" t="n"/>
      <c r="W662" s="61" t="n"/>
      <c r="X662" s="61" t="n"/>
      <c r="Y662" s="61" t="n"/>
      <c r="Z662" s="61" t="n"/>
      <c r="AA662" s="61" t="n"/>
      <c r="AB662" s="61" t="n"/>
      <c r="AC662" s="61" t="n"/>
      <c r="AD662" s="61" t="n"/>
      <c r="AE662" s="61" t="n"/>
      <c r="AF662" s="61" t="n"/>
      <c r="AG662" s="61" t="n"/>
      <c r="AH662" s="61" t="n"/>
    </row>
    <row r="663" ht="15.75" customHeight="1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  <c r="M663" s="61" t="n"/>
      <c r="N663" s="61" t="n"/>
      <c r="O663" s="61" t="n"/>
      <c r="P663" s="61" t="n"/>
      <c r="Q663" s="61" t="n"/>
      <c r="R663" s="61" t="n"/>
      <c r="S663" s="61" t="n"/>
      <c r="T663" s="61" t="n"/>
      <c r="U663" s="61" t="n"/>
      <c r="V663" s="61" t="n"/>
      <c r="W663" s="61" t="n"/>
      <c r="X663" s="61" t="n"/>
      <c r="Y663" s="61" t="n"/>
      <c r="Z663" s="61" t="n"/>
      <c r="AA663" s="61" t="n"/>
      <c r="AB663" s="61" t="n"/>
      <c r="AC663" s="61" t="n"/>
      <c r="AD663" s="61" t="n"/>
      <c r="AE663" s="61" t="n"/>
      <c r="AF663" s="61" t="n"/>
      <c r="AG663" s="61" t="n"/>
      <c r="AH663" s="61" t="n"/>
    </row>
    <row r="664" ht="15.75" customHeight="1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  <c r="M664" s="61" t="n"/>
      <c r="N664" s="61" t="n"/>
      <c r="O664" s="61" t="n"/>
      <c r="P664" s="61" t="n"/>
      <c r="Q664" s="61" t="n"/>
      <c r="R664" s="61" t="n"/>
      <c r="S664" s="61" t="n"/>
      <c r="T664" s="61" t="n"/>
      <c r="U664" s="61" t="n"/>
      <c r="V664" s="61" t="n"/>
      <c r="W664" s="61" t="n"/>
      <c r="X664" s="61" t="n"/>
      <c r="Y664" s="61" t="n"/>
      <c r="Z664" s="61" t="n"/>
      <c r="AA664" s="61" t="n"/>
      <c r="AB664" s="61" t="n"/>
      <c r="AC664" s="61" t="n"/>
      <c r="AD664" s="61" t="n"/>
      <c r="AE664" s="61" t="n"/>
      <c r="AF664" s="61" t="n"/>
      <c r="AG664" s="61" t="n"/>
      <c r="AH664" s="61" t="n"/>
    </row>
    <row r="665" ht="15.75" customHeight="1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  <c r="M665" s="61" t="n"/>
      <c r="N665" s="61" t="n"/>
      <c r="O665" s="61" t="n"/>
      <c r="P665" s="61" t="n"/>
      <c r="Q665" s="61" t="n"/>
      <c r="R665" s="61" t="n"/>
      <c r="S665" s="61" t="n"/>
      <c r="T665" s="61" t="n"/>
      <c r="U665" s="61" t="n"/>
      <c r="V665" s="61" t="n"/>
      <c r="W665" s="61" t="n"/>
      <c r="X665" s="61" t="n"/>
      <c r="Y665" s="61" t="n"/>
      <c r="Z665" s="61" t="n"/>
      <c r="AA665" s="61" t="n"/>
      <c r="AB665" s="61" t="n"/>
      <c r="AC665" s="61" t="n"/>
      <c r="AD665" s="61" t="n"/>
      <c r="AE665" s="61" t="n"/>
      <c r="AF665" s="61" t="n"/>
      <c r="AG665" s="61" t="n"/>
      <c r="AH665" s="61" t="n"/>
    </row>
    <row r="666" ht="15.75" customHeight="1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  <c r="M666" s="61" t="n"/>
      <c r="N666" s="61" t="n"/>
      <c r="O666" s="61" t="n"/>
      <c r="P666" s="61" t="n"/>
      <c r="Q666" s="61" t="n"/>
      <c r="R666" s="61" t="n"/>
      <c r="S666" s="61" t="n"/>
      <c r="T666" s="61" t="n"/>
      <c r="U666" s="61" t="n"/>
      <c r="V666" s="61" t="n"/>
      <c r="W666" s="61" t="n"/>
      <c r="X666" s="61" t="n"/>
      <c r="Y666" s="61" t="n"/>
      <c r="Z666" s="61" t="n"/>
      <c r="AA666" s="61" t="n"/>
      <c r="AB666" s="61" t="n"/>
      <c r="AC666" s="61" t="n"/>
      <c r="AD666" s="61" t="n"/>
      <c r="AE666" s="61" t="n"/>
      <c r="AF666" s="61" t="n"/>
      <c r="AG666" s="61" t="n"/>
      <c r="AH666" s="61" t="n"/>
    </row>
    <row r="667" ht="15.75" customHeight="1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  <c r="M667" s="61" t="n"/>
      <c r="N667" s="61" t="n"/>
      <c r="O667" s="61" t="n"/>
      <c r="P667" s="61" t="n"/>
      <c r="Q667" s="61" t="n"/>
      <c r="R667" s="61" t="n"/>
      <c r="S667" s="61" t="n"/>
      <c r="T667" s="61" t="n"/>
      <c r="U667" s="61" t="n"/>
      <c r="V667" s="61" t="n"/>
      <c r="W667" s="61" t="n"/>
      <c r="X667" s="61" t="n"/>
      <c r="Y667" s="61" t="n"/>
      <c r="Z667" s="61" t="n"/>
      <c r="AA667" s="61" t="n"/>
      <c r="AB667" s="61" t="n"/>
      <c r="AC667" s="61" t="n"/>
      <c r="AD667" s="61" t="n"/>
      <c r="AE667" s="61" t="n"/>
      <c r="AF667" s="61" t="n"/>
      <c r="AG667" s="61" t="n"/>
      <c r="AH667" s="61" t="n"/>
    </row>
    <row r="668" ht="15.75" customHeight="1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  <c r="M668" s="61" t="n"/>
      <c r="N668" s="61" t="n"/>
      <c r="O668" s="61" t="n"/>
      <c r="P668" s="61" t="n"/>
      <c r="Q668" s="61" t="n"/>
      <c r="R668" s="61" t="n"/>
      <c r="S668" s="61" t="n"/>
      <c r="T668" s="61" t="n"/>
      <c r="U668" s="61" t="n"/>
      <c r="V668" s="61" t="n"/>
      <c r="W668" s="61" t="n"/>
      <c r="X668" s="61" t="n"/>
      <c r="Y668" s="61" t="n"/>
      <c r="Z668" s="61" t="n"/>
      <c r="AA668" s="61" t="n"/>
      <c r="AB668" s="61" t="n"/>
      <c r="AC668" s="61" t="n"/>
      <c r="AD668" s="61" t="n"/>
      <c r="AE668" s="61" t="n"/>
      <c r="AF668" s="61" t="n"/>
      <c r="AG668" s="61" t="n"/>
      <c r="AH668" s="61" t="n"/>
    </row>
    <row r="669" ht="15.75" customHeight="1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  <c r="M669" s="61" t="n"/>
      <c r="N669" s="61" t="n"/>
      <c r="O669" s="61" t="n"/>
      <c r="P669" s="61" t="n"/>
      <c r="Q669" s="61" t="n"/>
      <c r="R669" s="61" t="n"/>
      <c r="S669" s="61" t="n"/>
      <c r="T669" s="61" t="n"/>
      <c r="U669" s="61" t="n"/>
      <c r="V669" s="61" t="n"/>
      <c r="W669" s="61" t="n"/>
      <c r="X669" s="61" t="n"/>
      <c r="Y669" s="61" t="n"/>
      <c r="Z669" s="61" t="n"/>
      <c r="AA669" s="61" t="n"/>
      <c r="AB669" s="61" t="n"/>
      <c r="AC669" s="61" t="n"/>
      <c r="AD669" s="61" t="n"/>
      <c r="AE669" s="61" t="n"/>
      <c r="AF669" s="61" t="n"/>
      <c r="AG669" s="61" t="n"/>
      <c r="AH669" s="61" t="n"/>
    </row>
    <row r="670" ht="15.75" customHeight="1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  <c r="M670" s="61" t="n"/>
      <c r="N670" s="61" t="n"/>
      <c r="O670" s="61" t="n"/>
      <c r="P670" s="61" t="n"/>
      <c r="Q670" s="61" t="n"/>
      <c r="R670" s="61" t="n"/>
      <c r="S670" s="61" t="n"/>
      <c r="T670" s="61" t="n"/>
      <c r="U670" s="61" t="n"/>
      <c r="V670" s="61" t="n"/>
      <c r="W670" s="61" t="n"/>
      <c r="X670" s="61" t="n"/>
      <c r="Y670" s="61" t="n"/>
      <c r="Z670" s="61" t="n"/>
      <c r="AA670" s="61" t="n"/>
      <c r="AB670" s="61" t="n"/>
      <c r="AC670" s="61" t="n"/>
      <c r="AD670" s="61" t="n"/>
      <c r="AE670" s="61" t="n"/>
      <c r="AF670" s="61" t="n"/>
      <c r="AG670" s="61" t="n"/>
      <c r="AH670" s="61" t="n"/>
    </row>
    <row r="671" ht="15.75" customHeight="1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  <c r="M671" s="61" t="n"/>
      <c r="N671" s="61" t="n"/>
      <c r="O671" s="61" t="n"/>
      <c r="P671" s="61" t="n"/>
      <c r="Q671" s="61" t="n"/>
      <c r="R671" s="61" t="n"/>
      <c r="S671" s="61" t="n"/>
      <c r="T671" s="61" t="n"/>
      <c r="U671" s="61" t="n"/>
      <c r="V671" s="61" t="n"/>
      <c r="W671" s="61" t="n"/>
      <c r="X671" s="61" t="n"/>
      <c r="Y671" s="61" t="n"/>
      <c r="Z671" s="61" t="n"/>
      <c r="AA671" s="61" t="n"/>
      <c r="AB671" s="61" t="n"/>
      <c r="AC671" s="61" t="n"/>
      <c r="AD671" s="61" t="n"/>
      <c r="AE671" s="61" t="n"/>
      <c r="AF671" s="61" t="n"/>
      <c r="AG671" s="61" t="n"/>
      <c r="AH671" s="61" t="n"/>
    </row>
    <row r="672" ht="15.75" customHeight="1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  <c r="M672" s="61" t="n"/>
      <c r="N672" s="61" t="n"/>
      <c r="O672" s="61" t="n"/>
      <c r="P672" s="61" t="n"/>
      <c r="Q672" s="61" t="n"/>
      <c r="R672" s="61" t="n"/>
      <c r="S672" s="61" t="n"/>
      <c r="T672" s="61" t="n"/>
      <c r="U672" s="61" t="n"/>
      <c r="V672" s="61" t="n"/>
      <c r="W672" s="61" t="n"/>
      <c r="X672" s="61" t="n"/>
      <c r="Y672" s="61" t="n"/>
      <c r="Z672" s="61" t="n"/>
      <c r="AA672" s="61" t="n"/>
      <c r="AB672" s="61" t="n"/>
      <c r="AC672" s="61" t="n"/>
      <c r="AD672" s="61" t="n"/>
      <c r="AE672" s="61" t="n"/>
      <c r="AF672" s="61" t="n"/>
      <c r="AG672" s="61" t="n"/>
      <c r="AH672" s="61" t="n"/>
    </row>
    <row r="673" ht="15.75" customHeight="1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  <c r="M673" s="61" t="n"/>
      <c r="N673" s="61" t="n"/>
      <c r="O673" s="61" t="n"/>
      <c r="P673" s="61" t="n"/>
      <c r="Q673" s="61" t="n"/>
      <c r="R673" s="61" t="n"/>
      <c r="S673" s="61" t="n"/>
      <c r="T673" s="61" t="n"/>
      <c r="U673" s="61" t="n"/>
      <c r="V673" s="61" t="n"/>
      <c r="W673" s="61" t="n"/>
      <c r="X673" s="61" t="n"/>
      <c r="Y673" s="61" t="n"/>
      <c r="Z673" s="61" t="n"/>
      <c r="AA673" s="61" t="n"/>
      <c r="AB673" s="61" t="n"/>
      <c r="AC673" s="61" t="n"/>
      <c r="AD673" s="61" t="n"/>
      <c r="AE673" s="61" t="n"/>
      <c r="AF673" s="61" t="n"/>
      <c r="AG673" s="61" t="n"/>
      <c r="AH673" s="61" t="n"/>
    </row>
    <row r="674" ht="15.75" customHeight="1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  <c r="M674" s="61" t="n"/>
      <c r="N674" s="61" t="n"/>
      <c r="O674" s="61" t="n"/>
      <c r="P674" s="61" t="n"/>
      <c r="Q674" s="61" t="n"/>
      <c r="R674" s="61" t="n"/>
      <c r="S674" s="61" t="n"/>
      <c r="T674" s="61" t="n"/>
      <c r="U674" s="61" t="n"/>
      <c r="V674" s="61" t="n"/>
      <c r="W674" s="61" t="n"/>
      <c r="X674" s="61" t="n"/>
      <c r="Y674" s="61" t="n"/>
      <c r="Z674" s="61" t="n"/>
      <c r="AA674" s="61" t="n"/>
      <c r="AB674" s="61" t="n"/>
      <c r="AC674" s="61" t="n"/>
      <c r="AD674" s="61" t="n"/>
      <c r="AE674" s="61" t="n"/>
      <c r="AF674" s="61" t="n"/>
      <c r="AG674" s="61" t="n"/>
      <c r="AH674" s="61" t="n"/>
    </row>
    <row r="675" ht="15.75" customHeight="1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  <c r="M675" s="61" t="n"/>
      <c r="N675" s="61" t="n"/>
      <c r="O675" s="61" t="n"/>
      <c r="P675" s="61" t="n"/>
      <c r="Q675" s="61" t="n"/>
      <c r="R675" s="61" t="n"/>
      <c r="S675" s="61" t="n"/>
      <c r="T675" s="61" t="n"/>
      <c r="U675" s="61" t="n"/>
      <c r="V675" s="61" t="n"/>
      <c r="W675" s="61" t="n"/>
      <c r="X675" s="61" t="n"/>
      <c r="Y675" s="61" t="n"/>
      <c r="Z675" s="61" t="n"/>
      <c r="AA675" s="61" t="n"/>
      <c r="AB675" s="61" t="n"/>
      <c r="AC675" s="61" t="n"/>
      <c r="AD675" s="61" t="n"/>
      <c r="AE675" s="61" t="n"/>
      <c r="AF675" s="61" t="n"/>
      <c r="AG675" s="61" t="n"/>
      <c r="AH675" s="61" t="n"/>
    </row>
    <row r="676" ht="15.75" customHeight="1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  <c r="M676" s="61" t="n"/>
      <c r="N676" s="61" t="n"/>
      <c r="O676" s="61" t="n"/>
      <c r="P676" s="61" t="n"/>
      <c r="Q676" s="61" t="n"/>
      <c r="R676" s="61" t="n"/>
      <c r="S676" s="61" t="n"/>
      <c r="T676" s="61" t="n"/>
      <c r="U676" s="61" t="n"/>
      <c r="V676" s="61" t="n"/>
      <c r="W676" s="61" t="n"/>
      <c r="X676" s="61" t="n"/>
      <c r="Y676" s="61" t="n"/>
      <c r="Z676" s="61" t="n"/>
      <c r="AA676" s="61" t="n"/>
      <c r="AB676" s="61" t="n"/>
      <c r="AC676" s="61" t="n"/>
      <c r="AD676" s="61" t="n"/>
      <c r="AE676" s="61" t="n"/>
      <c r="AF676" s="61" t="n"/>
      <c r="AG676" s="61" t="n"/>
      <c r="AH676" s="61" t="n"/>
    </row>
    <row r="677" ht="15.75" customHeight="1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  <c r="M677" s="61" t="n"/>
      <c r="N677" s="61" t="n"/>
      <c r="O677" s="61" t="n"/>
      <c r="P677" s="61" t="n"/>
      <c r="Q677" s="61" t="n"/>
      <c r="R677" s="61" t="n"/>
      <c r="S677" s="61" t="n"/>
      <c r="T677" s="61" t="n"/>
      <c r="U677" s="61" t="n"/>
      <c r="V677" s="61" t="n"/>
      <c r="W677" s="61" t="n"/>
      <c r="X677" s="61" t="n"/>
      <c r="Y677" s="61" t="n"/>
      <c r="Z677" s="61" t="n"/>
      <c r="AA677" s="61" t="n"/>
      <c r="AB677" s="61" t="n"/>
      <c r="AC677" s="61" t="n"/>
      <c r="AD677" s="61" t="n"/>
      <c r="AE677" s="61" t="n"/>
      <c r="AF677" s="61" t="n"/>
      <c r="AG677" s="61" t="n"/>
      <c r="AH677" s="61" t="n"/>
    </row>
    <row r="678" ht="15.75" customHeight="1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  <c r="M678" s="61" t="n"/>
      <c r="N678" s="61" t="n"/>
      <c r="O678" s="61" t="n"/>
      <c r="P678" s="61" t="n"/>
      <c r="Q678" s="61" t="n"/>
      <c r="R678" s="61" t="n"/>
      <c r="S678" s="61" t="n"/>
      <c r="T678" s="61" t="n"/>
      <c r="U678" s="61" t="n"/>
      <c r="V678" s="61" t="n"/>
      <c r="W678" s="61" t="n"/>
      <c r="X678" s="61" t="n"/>
      <c r="Y678" s="61" t="n"/>
      <c r="Z678" s="61" t="n"/>
      <c r="AA678" s="61" t="n"/>
      <c r="AB678" s="61" t="n"/>
      <c r="AC678" s="61" t="n"/>
      <c r="AD678" s="61" t="n"/>
      <c r="AE678" s="61" t="n"/>
      <c r="AF678" s="61" t="n"/>
      <c r="AG678" s="61" t="n"/>
      <c r="AH678" s="61" t="n"/>
    </row>
    <row r="679" ht="15.75" customHeight="1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  <c r="M679" s="61" t="n"/>
      <c r="N679" s="61" t="n"/>
      <c r="O679" s="61" t="n"/>
      <c r="P679" s="61" t="n"/>
      <c r="Q679" s="61" t="n"/>
      <c r="R679" s="61" t="n"/>
      <c r="S679" s="61" t="n"/>
      <c r="T679" s="61" t="n"/>
      <c r="U679" s="61" t="n"/>
      <c r="V679" s="61" t="n"/>
      <c r="W679" s="61" t="n"/>
      <c r="X679" s="61" t="n"/>
      <c r="Y679" s="61" t="n"/>
      <c r="Z679" s="61" t="n"/>
      <c r="AA679" s="61" t="n"/>
      <c r="AB679" s="61" t="n"/>
      <c r="AC679" s="61" t="n"/>
      <c r="AD679" s="61" t="n"/>
      <c r="AE679" s="61" t="n"/>
      <c r="AF679" s="61" t="n"/>
      <c r="AG679" s="61" t="n"/>
      <c r="AH679" s="61" t="n"/>
    </row>
    <row r="680" ht="15.75" customHeight="1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  <c r="M680" s="61" t="n"/>
      <c r="N680" s="61" t="n"/>
      <c r="O680" s="61" t="n"/>
      <c r="P680" s="61" t="n"/>
      <c r="Q680" s="61" t="n"/>
      <c r="R680" s="61" t="n"/>
      <c r="S680" s="61" t="n"/>
      <c r="T680" s="61" t="n"/>
      <c r="U680" s="61" t="n"/>
      <c r="V680" s="61" t="n"/>
      <c r="W680" s="61" t="n"/>
      <c r="X680" s="61" t="n"/>
      <c r="Y680" s="61" t="n"/>
      <c r="Z680" s="61" t="n"/>
      <c r="AA680" s="61" t="n"/>
      <c r="AB680" s="61" t="n"/>
      <c r="AC680" s="61" t="n"/>
      <c r="AD680" s="61" t="n"/>
      <c r="AE680" s="61" t="n"/>
      <c r="AF680" s="61" t="n"/>
      <c r="AG680" s="61" t="n"/>
      <c r="AH680" s="61" t="n"/>
    </row>
    <row r="681" ht="15.75" customHeight="1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  <c r="M681" s="61" t="n"/>
      <c r="N681" s="61" t="n"/>
      <c r="O681" s="61" t="n"/>
      <c r="P681" s="61" t="n"/>
      <c r="Q681" s="61" t="n"/>
      <c r="R681" s="61" t="n"/>
      <c r="S681" s="61" t="n"/>
      <c r="T681" s="61" t="n"/>
      <c r="U681" s="61" t="n"/>
      <c r="V681" s="61" t="n"/>
      <c r="W681" s="61" t="n"/>
      <c r="X681" s="61" t="n"/>
      <c r="Y681" s="61" t="n"/>
      <c r="Z681" s="61" t="n"/>
      <c r="AA681" s="61" t="n"/>
      <c r="AB681" s="61" t="n"/>
      <c r="AC681" s="61" t="n"/>
      <c r="AD681" s="61" t="n"/>
      <c r="AE681" s="61" t="n"/>
      <c r="AF681" s="61" t="n"/>
      <c r="AG681" s="61" t="n"/>
      <c r="AH681" s="61" t="n"/>
    </row>
    <row r="682" ht="15.75" customHeight="1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  <c r="M682" s="61" t="n"/>
      <c r="N682" s="61" t="n"/>
      <c r="O682" s="61" t="n"/>
      <c r="P682" s="61" t="n"/>
      <c r="Q682" s="61" t="n"/>
      <c r="R682" s="61" t="n"/>
      <c r="S682" s="61" t="n"/>
      <c r="T682" s="61" t="n"/>
      <c r="U682" s="61" t="n"/>
      <c r="V682" s="61" t="n"/>
      <c r="W682" s="61" t="n"/>
      <c r="X682" s="61" t="n"/>
      <c r="Y682" s="61" t="n"/>
      <c r="Z682" s="61" t="n"/>
      <c r="AA682" s="61" t="n"/>
      <c r="AB682" s="61" t="n"/>
      <c r="AC682" s="61" t="n"/>
      <c r="AD682" s="61" t="n"/>
      <c r="AE682" s="61" t="n"/>
      <c r="AF682" s="61" t="n"/>
      <c r="AG682" s="61" t="n"/>
      <c r="AH682" s="61" t="n"/>
    </row>
    <row r="683" ht="15.75" customHeight="1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  <c r="M683" s="61" t="n"/>
      <c r="N683" s="61" t="n"/>
      <c r="O683" s="61" t="n"/>
      <c r="P683" s="61" t="n"/>
      <c r="Q683" s="61" t="n"/>
      <c r="R683" s="61" t="n"/>
      <c r="S683" s="61" t="n"/>
      <c r="T683" s="61" t="n"/>
      <c r="U683" s="61" t="n"/>
      <c r="V683" s="61" t="n"/>
      <c r="W683" s="61" t="n"/>
      <c r="X683" s="61" t="n"/>
      <c r="Y683" s="61" t="n"/>
      <c r="Z683" s="61" t="n"/>
      <c r="AA683" s="61" t="n"/>
      <c r="AB683" s="61" t="n"/>
      <c r="AC683" s="61" t="n"/>
      <c r="AD683" s="61" t="n"/>
      <c r="AE683" s="61" t="n"/>
      <c r="AF683" s="61" t="n"/>
      <c r="AG683" s="61" t="n"/>
      <c r="AH683" s="61" t="n"/>
    </row>
    <row r="684" ht="15.75" customHeight="1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  <c r="M684" s="61" t="n"/>
      <c r="N684" s="61" t="n"/>
      <c r="O684" s="61" t="n"/>
      <c r="P684" s="61" t="n"/>
      <c r="Q684" s="61" t="n"/>
      <c r="R684" s="61" t="n"/>
      <c r="S684" s="61" t="n"/>
      <c r="T684" s="61" t="n"/>
      <c r="U684" s="61" t="n"/>
      <c r="V684" s="61" t="n"/>
      <c r="W684" s="61" t="n"/>
      <c r="X684" s="61" t="n"/>
      <c r="Y684" s="61" t="n"/>
      <c r="Z684" s="61" t="n"/>
      <c r="AA684" s="61" t="n"/>
      <c r="AB684" s="61" t="n"/>
      <c r="AC684" s="61" t="n"/>
      <c r="AD684" s="61" t="n"/>
      <c r="AE684" s="61" t="n"/>
      <c r="AF684" s="61" t="n"/>
      <c r="AG684" s="61" t="n"/>
      <c r="AH684" s="61" t="n"/>
    </row>
    <row r="685" ht="15.75" customHeight="1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  <c r="M685" s="61" t="n"/>
      <c r="N685" s="61" t="n"/>
      <c r="O685" s="61" t="n"/>
      <c r="P685" s="61" t="n"/>
      <c r="Q685" s="61" t="n"/>
      <c r="R685" s="61" t="n"/>
      <c r="S685" s="61" t="n"/>
      <c r="T685" s="61" t="n"/>
      <c r="U685" s="61" t="n"/>
      <c r="V685" s="61" t="n"/>
      <c r="W685" s="61" t="n"/>
      <c r="X685" s="61" t="n"/>
      <c r="Y685" s="61" t="n"/>
      <c r="Z685" s="61" t="n"/>
      <c r="AA685" s="61" t="n"/>
      <c r="AB685" s="61" t="n"/>
      <c r="AC685" s="61" t="n"/>
      <c r="AD685" s="61" t="n"/>
      <c r="AE685" s="61" t="n"/>
      <c r="AF685" s="61" t="n"/>
      <c r="AG685" s="61" t="n"/>
      <c r="AH685" s="61" t="n"/>
    </row>
    <row r="686" ht="15.75" customHeight="1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  <c r="M686" s="61" t="n"/>
      <c r="N686" s="61" t="n"/>
      <c r="O686" s="61" t="n"/>
      <c r="P686" s="61" t="n"/>
      <c r="Q686" s="61" t="n"/>
      <c r="R686" s="61" t="n"/>
      <c r="S686" s="61" t="n"/>
      <c r="T686" s="61" t="n"/>
      <c r="U686" s="61" t="n"/>
      <c r="V686" s="61" t="n"/>
      <c r="W686" s="61" t="n"/>
      <c r="X686" s="61" t="n"/>
      <c r="Y686" s="61" t="n"/>
      <c r="Z686" s="61" t="n"/>
      <c r="AA686" s="61" t="n"/>
      <c r="AB686" s="61" t="n"/>
      <c r="AC686" s="61" t="n"/>
      <c r="AD686" s="61" t="n"/>
      <c r="AE686" s="61" t="n"/>
      <c r="AF686" s="61" t="n"/>
      <c r="AG686" s="61" t="n"/>
      <c r="AH686" s="61" t="n"/>
    </row>
    <row r="687" ht="15.75" customHeight="1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  <c r="M687" s="61" t="n"/>
      <c r="N687" s="61" t="n"/>
      <c r="O687" s="61" t="n"/>
      <c r="P687" s="61" t="n"/>
      <c r="Q687" s="61" t="n"/>
      <c r="R687" s="61" t="n"/>
      <c r="S687" s="61" t="n"/>
      <c r="T687" s="61" t="n"/>
      <c r="U687" s="61" t="n"/>
      <c r="V687" s="61" t="n"/>
      <c r="W687" s="61" t="n"/>
      <c r="X687" s="61" t="n"/>
      <c r="Y687" s="61" t="n"/>
      <c r="Z687" s="61" t="n"/>
      <c r="AA687" s="61" t="n"/>
      <c r="AB687" s="61" t="n"/>
      <c r="AC687" s="61" t="n"/>
      <c r="AD687" s="61" t="n"/>
      <c r="AE687" s="61" t="n"/>
      <c r="AF687" s="61" t="n"/>
      <c r="AG687" s="61" t="n"/>
      <c r="AH687" s="61" t="n"/>
    </row>
    <row r="688" ht="15.75" customHeight="1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  <c r="M688" s="61" t="n"/>
      <c r="N688" s="61" t="n"/>
      <c r="O688" s="61" t="n"/>
      <c r="P688" s="61" t="n"/>
      <c r="Q688" s="61" t="n"/>
      <c r="R688" s="61" t="n"/>
      <c r="S688" s="61" t="n"/>
      <c r="T688" s="61" t="n"/>
      <c r="U688" s="61" t="n"/>
      <c r="V688" s="61" t="n"/>
      <c r="W688" s="61" t="n"/>
      <c r="X688" s="61" t="n"/>
      <c r="Y688" s="61" t="n"/>
      <c r="Z688" s="61" t="n"/>
      <c r="AA688" s="61" t="n"/>
      <c r="AB688" s="61" t="n"/>
      <c r="AC688" s="61" t="n"/>
      <c r="AD688" s="61" t="n"/>
      <c r="AE688" s="61" t="n"/>
      <c r="AF688" s="61" t="n"/>
      <c r="AG688" s="61" t="n"/>
      <c r="AH688" s="61" t="n"/>
    </row>
    <row r="689" ht="15.75" customHeight="1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  <c r="M689" s="61" t="n"/>
      <c r="N689" s="61" t="n"/>
      <c r="O689" s="61" t="n"/>
      <c r="P689" s="61" t="n"/>
      <c r="Q689" s="61" t="n"/>
      <c r="R689" s="61" t="n"/>
      <c r="S689" s="61" t="n"/>
      <c r="T689" s="61" t="n"/>
      <c r="U689" s="61" t="n"/>
      <c r="V689" s="61" t="n"/>
      <c r="W689" s="61" t="n"/>
      <c r="X689" s="61" t="n"/>
      <c r="Y689" s="61" t="n"/>
      <c r="Z689" s="61" t="n"/>
      <c r="AA689" s="61" t="n"/>
      <c r="AB689" s="61" t="n"/>
      <c r="AC689" s="61" t="n"/>
      <c r="AD689" s="61" t="n"/>
      <c r="AE689" s="61" t="n"/>
      <c r="AF689" s="61" t="n"/>
      <c r="AG689" s="61" t="n"/>
      <c r="AH689" s="61" t="n"/>
    </row>
    <row r="690" ht="15.75" customHeight="1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  <c r="M690" s="61" t="n"/>
      <c r="N690" s="61" t="n"/>
      <c r="O690" s="61" t="n"/>
      <c r="P690" s="61" t="n"/>
      <c r="Q690" s="61" t="n"/>
      <c r="R690" s="61" t="n"/>
      <c r="S690" s="61" t="n"/>
      <c r="T690" s="61" t="n"/>
      <c r="U690" s="61" t="n"/>
      <c r="V690" s="61" t="n"/>
      <c r="W690" s="61" t="n"/>
      <c r="X690" s="61" t="n"/>
      <c r="Y690" s="61" t="n"/>
      <c r="Z690" s="61" t="n"/>
      <c r="AA690" s="61" t="n"/>
      <c r="AB690" s="61" t="n"/>
      <c r="AC690" s="61" t="n"/>
      <c r="AD690" s="61" t="n"/>
      <c r="AE690" s="61" t="n"/>
      <c r="AF690" s="61" t="n"/>
      <c r="AG690" s="61" t="n"/>
      <c r="AH690" s="61" t="n"/>
    </row>
    <row r="691" ht="15.75" customHeight="1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  <c r="M691" s="61" t="n"/>
      <c r="N691" s="61" t="n"/>
      <c r="O691" s="61" t="n"/>
      <c r="P691" s="61" t="n"/>
      <c r="Q691" s="61" t="n"/>
      <c r="R691" s="61" t="n"/>
      <c r="S691" s="61" t="n"/>
      <c r="T691" s="61" t="n"/>
      <c r="U691" s="61" t="n"/>
      <c r="V691" s="61" t="n"/>
      <c r="W691" s="61" t="n"/>
      <c r="X691" s="61" t="n"/>
      <c r="Y691" s="61" t="n"/>
      <c r="Z691" s="61" t="n"/>
      <c r="AA691" s="61" t="n"/>
      <c r="AB691" s="61" t="n"/>
      <c r="AC691" s="61" t="n"/>
      <c r="AD691" s="61" t="n"/>
      <c r="AE691" s="61" t="n"/>
      <c r="AF691" s="61" t="n"/>
      <c r="AG691" s="61" t="n"/>
      <c r="AH691" s="61" t="n"/>
    </row>
    <row r="692" ht="15.75" customHeight="1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  <c r="M692" s="61" t="n"/>
      <c r="N692" s="61" t="n"/>
      <c r="O692" s="61" t="n"/>
      <c r="P692" s="61" t="n"/>
      <c r="Q692" s="61" t="n"/>
      <c r="R692" s="61" t="n"/>
      <c r="S692" s="61" t="n"/>
      <c r="T692" s="61" t="n"/>
      <c r="U692" s="61" t="n"/>
      <c r="V692" s="61" t="n"/>
      <c r="W692" s="61" t="n"/>
      <c r="X692" s="61" t="n"/>
      <c r="Y692" s="61" t="n"/>
      <c r="Z692" s="61" t="n"/>
      <c r="AA692" s="61" t="n"/>
      <c r="AB692" s="61" t="n"/>
      <c r="AC692" s="61" t="n"/>
      <c r="AD692" s="61" t="n"/>
      <c r="AE692" s="61" t="n"/>
      <c r="AF692" s="61" t="n"/>
      <c r="AG692" s="61" t="n"/>
      <c r="AH692" s="61" t="n"/>
    </row>
    <row r="693" ht="15.75" customHeight="1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  <c r="M693" s="61" t="n"/>
      <c r="N693" s="61" t="n"/>
      <c r="O693" s="61" t="n"/>
      <c r="P693" s="61" t="n"/>
      <c r="Q693" s="61" t="n"/>
      <c r="R693" s="61" t="n"/>
      <c r="S693" s="61" t="n"/>
      <c r="T693" s="61" t="n"/>
      <c r="U693" s="61" t="n"/>
      <c r="V693" s="61" t="n"/>
      <c r="W693" s="61" t="n"/>
      <c r="X693" s="61" t="n"/>
      <c r="Y693" s="61" t="n"/>
      <c r="Z693" s="61" t="n"/>
      <c r="AA693" s="61" t="n"/>
      <c r="AB693" s="61" t="n"/>
      <c r="AC693" s="61" t="n"/>
      <c r="AD693" s="61" t="n"/>
      <c r="AE693" s="61" t="n"/>
      <c r="AF693" s="61" t="n"/>
      <c r="AG693" s="61" t="n"/>
      <c r="AH693" s="61" t="n"/>
    </row>
    <row r="694" ht="15.75" customHeight="1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  <c r="M694" s="61" t="n"/>
      <c r="N694" s="61" t="n"/>
      <c r="O694" s="61" t="n"/>
      <c r="P694" s="61" t="n"/>
      <c r="Q694" s="61" t="n"/>
      <c r="R694" s="61" t="n"/>
      <c r="S694" s="61" t="n"/>
      <c r="T694" s="61" t="n"/>
      <c r="U694" s="61" t="n"/>
      <c r="V694" s="61" t="n"/>
      <c r="W694" s="61" t="n"/>
      <c r="X694" s="61" t="n"/>
      <c r="Y694" s="61" t="n"/>
      <c r="Z694" s="61" t="n"/>
      <c r="AA694" s="61" t="n"/>
      <c r="AB694" s="61" t="n"/>
      <c r="AC694" s="61" t="n"/>
      <c r="AD694" s="61" t="n"/>
      <c r="AE694" s="61" t="n"/>
      <c r="AF694" s="61" t="n"/>
      <c r="AG694" s="61" t="n"/>
      <c r="AH694" s="61" t="n"/>
    </row>
    <row r="695" ht="15.75" customHeight="1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  <c r="M695" s="61" t="n"/>
      <c r="N695" s="61" t="n"/>
      <c r="O695" s="61" t="n"/>
      <c r="P695" s="61" t="n"/>
      <c r="Q695" s="61" t="n"/>
      <c r="R695" s="61" t="n"/>
      <c r="S695" s="61" t="n"/>
      <c r="T695" s="61" t="n"/>
      <c r="U695" s="61" t="n"/>
      <c r="V695" s="61" t="n"/>
      <c r="W695" s="61" t="n"/>
      <c r="X695" s="61" t="n"/>
      <c r="Y695" s="61" t="n"/>
      <c r="Z695" s="61" t="n"/>
      <c r="AA695" s="61" t="n"/>
      <c r="AB695" s="61" t="n"/>
      <c r="AC695" s="61" t="n"/>
      <c r="AD695" s="61" t="n"/>
      <c r="AE695" s="61" t="n"/>
      <c r="AF695" s="61" t="n"/>
      <c r="AG695" s="61" t="n"/>
      <c r="AH695" s="61" t="n"/>
    </row>
    <row r="696" ht="15.75" customHeight="1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  <c r="M696" s="61" t="n"/>
      <c r="N696" s="61" t="n"/>
      <c r="O696" s="61" t="n"/>
      <c r="P696" s="61" t="n"/>
      <c r="Q696" s="61" t="n"/>
      <c r="R696" s="61" t="n"/>
      <c r="S696" s="61" t="n"/>
      <c r="T696" s="61" t="n"/>
      <c r="U696" s="61" t="n"/>
      <c r="V696" s="61" t="n"/>
      <c r="W696" s="61" t="n"/>
      <c r="X696" s="61" t="n"/>
      <c r="Y696" s="61" t="n"/>
      <c r="Z696" s="61" t="n"/>
      <c r="AA696" s="61" t="n"/>
      <c r="AB696" s="61" t="n"/>
      <c r="AC696" s="61" t="n"/>
      <c r="AD696" s="61" t="n"/>
      <c r="AE696" s="61" t="n"/>
      <c r="AF696" s="61" t="n"/>
      <c r="AG696" s="61" t="n"/>
      <c r="AH696" s="61" t="n"/>
    </row>
    <row r="697" ht="15.75" customHeight="1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  <c r="M697" s="61" t="n"/>
      <c r="N697" s="61" t="n"/>
      <c r="O697" s="61" t="n"/>
      <c r="P697" s="61" t="n"/>
      <c r="Q697" s="61" t="n"/>
      <c r="R697" s="61" t="n"/>
      <c r="S697" s="61" t="n"/>
      <c r="T697" s="61" t="n"/>
      <c r="U697" s="61" t="n"/>
      <c r="V697" s="61" t="n"/>
      <c r="W697" s="61" t="n"/>
      <c r="X697" s="61" t="n"/>
      <c r="Y697" s="61" t="n"/>
      <c r="Z697" s="61" t="n"/>
      <c r="AA697" s="61" t="n"/>
      <c r="AB697" s="61" t="n"/>
      <c r="AC697" s="61" t="n"/>
      <c r="AD697" s="61" t="n"/>
      <c r="AE697" s="61" t="n"/>
      <c r="AF697" s="61" t="n"/>
      <c r="AG697" s="61" t="n"/>
      <c r="AH697" s="61" t="n"/>
    </row>
    <row r="698" ht="15.75" customHeight="1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  <c r="M698" s="61" t="n"/>
      <c r="N698" s="61" t="n"/>
      <c r="O698" s="61" t="n"/>
      <c r="P698" s="61" t="n"/>
      <c r="Q698" s="61" t="n"/>
      <c r="R698" s="61" t="n"/>
      <c r="S698" s="61" t="n"/>
      <c r="T698" s="61" t="n"/>
      <c r="U698" s="61" t="n"/>
      <c r="V698" s="61" t="n"/>
      <c r="W698" s="61" t="n"/>
      <c r="X698" s="61" t="n"/>
      <c r="Y698" s="61" t="n"/>
      <c r="Z698" s="61" t="n"/>
      <c r="AA698" s="61" t="n"/>
      <c r="AB698" s="61" t="n"/>
      <c r="AC698" s="61" t="n"/>
      <c r="AD698" s="61" t="n"/>
      <c r="AE698" s="61" t="n"/>
      <c r="AF698" s="61" t="n"/>
      <c r="AG698" s="61" t="n"/>
      <c r="AH698" s="61" t="n"/>
    </row>
    <row r="699" ht="15.75" customHeight="1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  <c r="M699" s="61" t="n"/>
      <c r="N699" s="61" t="n"/>
      <c r="O699" s="61" t="n"/>
      <c r="P699" s="61" t="n"/>
      <c r="Q699" s="61" t="n"/>
      <c r="R699" s="61" t="n"/>
      <c r="S699" s="61" t="n"/>
      <c r="T699" s="61" t="n"/>
      <c r="U699" s="61" t="n"/>
      <c r="V699" s="61" t="n"/>
      <c r="W699" s="61" t="n"/>
      <c r="X699" s="61" t="n"/>
      <c r="Y699" s="61" t="n"/>
      <c r="Z699" s="61" t="n"/>
      <c r="AA699" s="61" t="n"/>
      <c r="AB699" s="61" t="n"/>
      <c r="AC699" s="61" t="n"/>
      <c r="AD699" s="61" t="n"/>
      <c r="AE699" s="61" t="n"/>
      <c r="AF699" s="61" t="n"/>
      <c r="AG699" s="61" t="n"/>
      <c r="AH699" s="61" t="n"/>
    </row>
    <row r="700" ht="15.75" customHeight="1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  <c r="M700" s="61" t="n"/>
      <c r="N700" s="61" t="n"/>
      <c r="O700" s="61" t="n"/>
      <c r="P700" s="61" t="n"/>
      <c r="Q700" s="61" t="n"/>
      <c r="R700" s="61" t="n"/>
      <c r="S700" s="61" t="n"/>
      <c r="T700" s="61" t="n"/>
      <c r="U700" s="61" t="n"/>
      <c r="V700" s="61" t="n"/>
      <c r="W700" s="61" t="n"/>
      <c r="X700" s="61" t="n"/>
      <c r="Y700" s="61" t="n"/>
      <c r="Z700" s="61" t="n"/>
      <c r="AA700" s="61" t="n"/>
      <c r="AB700" s="61" t="n"/>
      <c r="AC700" s="61" t="n"/>
      <c r="AD700" s="61" t="n"/>
      <c r="AE700" s="61" t="n"/>
      <c r="AF700" s="61" t="n"/>
      <c r="AG700" s="61" t="n"/>
      <c r="AH700" s="61" t="n"/>
    </row>
    <row r="701" ht="15.75" customHeight="1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  <c r="M701" s="61" t="n"/>
      <c r="N701" s="61" t="n"/>
      <c r="O701" s="61" t="n"/>
      <c r="P701" s="61" t="n"/>
      <c r="Q701" s="61" t="n"/>
      <c r="R701" s="61" t="n"/>
      <c r="S701" s="61" t="n"/>
      <c r="T701" s="61" t="n"/>
      <c r="U701" s="61" t="n"/>
      <c r="V701" s="61" t="n"/>
      <c r="W701" s="61" t="n"/>
      <c r="X701" s="61" t="n"/>
      <c r="Y701" s="61" t="n"/>
      <c r="Z701" s="61" t="n"/>
      <c r="AA701" s="61" t="n"/>
      <c r="AB701" s="61" t="n"/>
      <c r="AC701" s="61" t="n"/>
      <c r="AD701" s="61" t="n"/>
      <c r="AE701" s="61" t="n"/>
      <c r="AF701" s="61" t="n"/>
      <c r="AG701" s="61" t="n"/>
      <c r="AH701" s="61" t="n"/>
    </row>
    <row r="702" ht="15.75" customHeight="1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  <c r="M702" s="61" t="n"/>
      <c r="N702" s="61" t="n"/>
      <c r="O702" s="61" t="n"/>
      <c r="P702" s="61" t="n"/>
      <c r="Q702" s="61" t="n"/>
      <c r="R702" s="61" t="n"/>
      <c r="S702" s="61" t="n"/>
      <c r="T702" s="61" t="n"/>
      <c r="U702" s="61" t="n"/>
      <c r="V702" s="61" t="n"/>
      <c r="W702" s="61" t="n"/>
      <c r="X702" s="61" t="n"/>
      <c r="Y702" s="61" t="n"/>
      <c r="Z702" s="61" t="n"/>
      <c r="AA702" s="61" t="n"/>
      <c r="AB702" s="61" t="n"/>
      <c r="AC702" s="61" t="n"/>
      <c r="AD702" s="61" t="n"/>
      <c r="AE702" s="61" t="n"/>
      <c r="AF702" s="61" t="n"/>
      <c r="AG702" s="61" t="n"/>
      <c r="AH702" s="61" t="n"/>
    </row>
    <row r="703" ht="15.75" customHeight="1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  <c r="M703" s="61" t="n"/>
      <c r="N703" s="61" t="n"/>
      <c r="O703" s="61" t="n"/>
      <c r="P703" s="61" t="n"/>
      <c r="Q703" s="61" t="n"/>
      <c r="R703" s="61" t="n"/>
      <c r="S703" s="61" t="n"/>
      <c r="T703" s="61" t="n"/>
      <c r="U703" s="61" t="n"/>
      <c r="V703" s="61" t="n"/>
      <c r="W703" s="61" t="n"/>
      <c r="X703" s="61" t="n"/>
      <c r="Y703" s="61" t="n"/>
      <c r="Z703" s="61" t="n"/>
      <c r="AA703" s="61" t="n"/>
      <c r="AB703" s="61" t="n"/>
      <c r="AC703" s="61" t="n"/>
      <c r="AD703" s="61" t="n"/>
      <c r="AE703" s="61" t="n"/>
      <c r="AF703" s="61" t="n"/>
      <c r="AG703" s="61" t="n"/>
      <c r="AH703" s="61" t="n"/>
    </row>
    <row r="704" ht="15.75" customHeight="1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  <c r="M704" s="61" t="n"/>
      <c r="N704" s="61" t="n"/>
      <c r="O704" s="61" t="n"/>
      <c r="P704" s="61" t="n"/>
      <c r="Q704" s="61" t="n"/>
      <c r="R704" s="61" t="n"/>
      <c r="S704" s="61" t="n"/>
      <c r="T704" s="61" t="n"/>
      <c r="U704" s="61" t="n"/>
      <c r="V704" s="61" t="n"/>
      <c r="W704" s="61" t="n"/>
      <c r="X704" s="61" t="n"/>
      <c r="Y704" s="61" t="n"/>
      <c r="Z704" s="61" t="n"/>
      <c r="AA704" s="61" t="n"/>
      <c r="AB704" s="61" t="n"/>
      <c r="AC704" s="61" t="n"/>
      <c r="AD704" s="61" t="n"/>
      <c r="AE704" s="61" t="n"/>
      <c r="AF704" s="61" t="n"/>
      <c r="AG704" s="61" t="n"/>
      <c r="AH704" s="61" t="n"/>
    </row>
    <row r="705" ht="15.75" customHeight="1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  <c r="M705" s="61" t="n"/>
      <c r="N705" s="61" t="n"/>
      <c r="O705" s="61" t="n"/>
      <c r="P705" s="61" t="n"/>
      <c r="Q705" s="61" t="n"/>
      <c r="R705" s="61" t="n"/>
      <c r="S705" s="61" t="n"/>
      <c r="T705" s="61" t="n"/>
      <c r="U705" s="61" t="n"/>
      <c r="V705" s="61" t="n"/>
      <c r="W705" s="61" t="n"/>
      <c r="X705" s="61" t="n"/>
      <c r="Y705" s="61" t="n"/>
      <c r="Z705" s="61" t="n"/>
      <c r="AA705" s="61" t="n"/>
      <c r="AB705" s="61" t="n"/>
      <c r="AC705" s="61" t="n"/>
      <c r="AD705" s="61" t="n"/>
      <c r="AE705" s="61" t="n"/>
      <c r="AF705" s="61" t="n"/>
      <c r="AG705" s="61" t="n"/>
      <c r="AH705" s="61" t="n"/>
    </row>
    <row r="706" ht="15.75" customHeight="1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  <c r="M706" s="61" t="n"/>
      <c r="N706" s="61" t="n"/>
      <c r="O706" s="61" t="n"/>
      <c r="P706" s="61" t="n"/>
      <c r="Q706" s="61" t="n"/>
      <c r="R706" s="61" t="n"/>
      <c r="S706" s="61" t="n"/>
      <c r="T706" s="61" t="n"/>
      <c r="U706" s="61" t="n"/>
      <c r="V706" s="61" t="n"/>
      <c r="W706" s="61" t="n"/>
      <c r="X706" s="61" t="n"/>
      <c r="Y706" s="61" t="n"/>
      <c r="Z706" s="61" t="n"/>
      <c r="AA706" s="61" t="n"/>
      <c r="AB706" s="61" t="n"/>
      <c r="AC706" s="61" t="n"/>
      <c r="AD706" s="61" t="n"/>
      <c r="AE706" s="61" t="n"/>
      <c r="AF706" s="61" t="n"/>
      <c r="AG706" s="61" t="n"/>
      <c r="AH706" s="61" t="n"/>
    </row>
    <row r="707" ht="15.75" customHeight="1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  <c r="M707" s="61" t="n"/>
      <c r="N707" s="61" t="n"/>
      <c r="O707" s="61" t="n"/>
      <c r="P707" s="61" t="n"/>
      <c r="Q707" s="61" t="n"/>
      <c r="R707" s="61" t="n"/>
      <c r="S707" s="61" t="n"/>
      <c r="T707" s="61" t="n"/>
      <c r="U707" s="61" t="n"/>
      <c r="V707" s="61" t="n"/>
      <c r="W707" s="61" t="n"/>
      <c r="X707" s="61" t="n"/>
      <c r="Y707" s="61" t="n"/>
      <c r="Z707" s="61" t="n"/>
      <c r="AA707" s="61" t="n"/>
      <c r="AB707" s="61" t="n"/>
      <c r="AC707" s="61" t="n"/>
      <c r="AD707" s="61" t="n"/>
      <c r="AE707" s="61" t="n"/>
      <c r="AF707" s="61" t="n"/>
      <c r="AG707" s="61" t="n"/>
      <c r="AH707" s="61" t="n"/>
    </row>
    <row r="708" ht="15.75" customHeight="1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  <c r="M708" s="61" t="n"/>
      <c r="N708" s="61" t="n"/>
      <c r="O708" s="61" t="n"/>
      <c r="P708" s="61" t="n"/>
      <c r="Q708" s="61" t="n"/>
      <c r="R708" s="61" t="n"/>
      <c r="S708" s="61" t="n"/>
      <c r="T708" s="61" t="n"/>
      <c r="U708" s="61" t="n"/>
      <c r="V708" s="61" t="n"/>
      <c r="W708" s="61" t="n"/>
      <c r="X708" s="61" t="n"/>
      <c r="Y708" s="61" t="n"/>
      <c r="Z708" s="61" t="n"/>
      <c r="AA708" s="61" t="n"/>
      <c r="AB708" s="61" t="n"/>
      <c r="AC708" s="61" t="n"/>
      <c r="AD708" s="61" t="n"/>
      <c r="AE708" s="61" t="n"/>
      <c r="AF708" s="61" t="n"/>
      <c r="AG708" s="61" t="n"/>
      <c r="AH708" s="61" t="n"/>
    </row>
    <row r="709" ht="15.75" customHeight="1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  <c r="M709" s="61" t="n"/>
      <c r="N709" s="61" t="n"/>
      <c r="O709" s="61" t="n"/>
      <c r="P709" s="61" t="n"/>
      <c r="Q709" s="61" t="n"/>
      <c r="R709" s="61" t="n"/>
      <c r="S709" s="61" t="n"/>
      <c r="T709" s="61" t="n"/>
      <c r="U709" s="61" t="n"/>
      <c r="V709" s="61" t="n"/>
      <c r="W709" s="61" t="n"/>
      <c r="X709" s="61" t="n"/>
      <c r="Y709" s="61" t="n"/>
      <c r="Z709" s="61" t="n"/>
      <c r="AA709" s="61" t="n"/>
      <c r="AB709" s="61" t="n"/>
      <c r="AC709" s="61" t="n"/>
      <c r="AD709" s="61" t="n"/>
      <c r="AE709" s="61" t="n"/>
      <c r="AF709" s="61" t="n"/>
      <c r="AG709" s="61" t="n"/>
      <c r="AH709" s="61" t="n"/>
    </row>
    <row r="710" ht="15.75" customHeight="1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  <c r="M710" s="61" t="n"/>
      <c r="N710" s="61" t="n"/>
      <c r="O710" s="61" t="n"/>
      <c r="P710" s="61" t="n"/>
      <c r="Q710" s="61" t="n"/>
      <c r="R710" s="61" t="n"/>
      <c r="S710" s="61" t="n"/>
      <c r="T710" s="61" t="n"/>
      <c r="U710" s="61" t="n"/>
      <c r="V710" s="61" t="n"/>
      <c r="W710" s="61" t="n"/>
      <c r="X710" s="61" t="n"/>
      <c r="Y710" s="61" t="n"/>
      <c r="Z710" s="61" t="n"/>
      <c r="AA710" s="61" t="n"/>
      <c r="AB710" s="61" t="n"/>
      <c r="AC710" s="61" t="n"/>
      <c r="AD710" s="61" t="n"/>
      <c r="AE710" s="61" t="n"/>
      <c r="AF710" s="61" t="n"/>
      <c r="AG710" s="61" t="n"/>
      <c r="AH710" s="61" t="n"/>
    </row>
    <row r="711" ht="15.75" customHeight="1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  <c r="M711" s="61" t="n"/>
      <c r="N711" s="61" t="n"/>
      <c r="O711" s="61" t="n"/>
      <c r="P711" s="61" t="n"/>
      <c r="Q711" s="61" t="n"/>
      <c r="R711" s="61" t="n"/>
      <c r="S711" s="61" t="n"/>
      <c r="T711" s="61" t="n"/>
      <c r="U711" s="61" t="n"/>
      <c r="V711" s="61" t="n"/>
      <c r="W711" s="61" t="n"/>
      <c r="X711" s="61" t="n"/>
      <c r="Y711" s="61" t="n"/>
      <c r="Z711" s="61" t="n"/>
      <c r="AA711" s="61" t="n"/>
      <c r="AB711" s="61" t="n"/>
      <c r="AC711" s="61" t="n"/>
      <c r="AD711" s="61" t="n"/>
      <c r="AE711" s="61" t="n"/>
      <c r="AF711" s="61" t="n"/>
      <c r="AG711" s="61" t="n"/>
      <c r="AH711" s="61" t="n"/>
    </row>
    <row r="712" ht="15.75" customHeight="1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  <c r="M712" s="61" t="n"/>
      <c r="N712" s="61" t="n"/>
      <c r="O712" s="61" t="n"/>
      <c r="P712" s="61" t="n"/>
      <c r="Q712" s="61" t="n"/>
      <c r="R712" s="61" t="n"/>
      <c r="S712" s="61" t="n"/>
      <c r="T712" s="61" t="n"/>
      <c r="U712" s="61" t="n"/>
      <c r="V712" s="61" t="n"/>
      <c r="W712" s="61" t="n"/>
      <c r="X712" s="61" t="n"/>
      <c r="Y712" s="61" t="n"/>
      <c r="Z712" s="61" t="n"/>
      <c r="AA712" s="61" t="n"/>
      <c r="AB712" s="61" t="n"/>
      <c r="AC712" s="61" t="n"/>
      <c r="AD712" s="61" t="n"/>
      <c r="AE712" s="61" t="n"/>
      <c r="AF712" s="61" t="n"/>
      <c r="AG712" s="61" t="n"/>
      <c r="AH712" s="61" t="n"/>
    </row>
    <row r="713" ht="15.75" customHeight="1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  <c r="M713" s="61" t="n"/>
      <c r="N713" s="61" t="n"/>
      <c r="O713" s="61" t="n"/>
      <c r="P713" s="61" t="n"/>
      <c r="Q713" s="61" t="n"/>
      <c r="R713" s="61" t="n"/>
      <c r="S713" s="61" t="n"/>
      <c r="T713" s="61" t="n"/>
      <c r="U713" s="61" t="n"/>
      <c r="V713" s="61" t="n"/>
      <c r="W713" s="61" t="n"/>
      <c r="X713" s="61" t="n"/>
      <c r="Y713" s="61" t="n"/>
      <c r="Z713" s="61" t="n"/>
      <c r="AA713" s="61" t="n"/>
      <c r="AB713" s="61" t="n"/>
      <c r="AC713" s="61" t="n"/>
      <c r="AD713" s="61" t="n"/>
      <c r="AE713" s="61" t="n"/>
      <c r="AF713" s="61" t="n"/>
      <c r="AG713" s="61" t="n"/>
      <c r="AH713" s="61" t="n"/>
    </row>
    <row r="714" ht="15.75" customHeight="1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  <c r="M714" s="61" t="n"/>
      <c r="N714" s="61" t="n"/>
      <c r="O714" s="61" t="n"/>
      <c r="P714" s="61" t="n"/>
      <c r="Q714" s="61" t="n"/>
      <c r="R714" s="61" t="n"/>
      <c r="S714" s="61" t="n"/>
      <c r="T714" s="61" t="n"/>
      <c r="U714" s="61" t="n"/>
      <c r="V714" s="61" t="n"/>
      <c r="W714" s="61" t="n"/>
      <c r="X714" s="61" t="n"/>
      <c r="Y714" s="61" t="n"/>
      <c r="Z714" s="61" t="n"/>
      <c r="AA714" s="61" t="n"/>
      <c r="AB714" s="61" t="n"/>
      <c r="AC714" s="61" t="n"/>
      <c r="AD714" s="61" t="n"/>
      <c r="AE714" s="61" t="n"/>
      <c r="AF714" s="61" t="n"/>
      <c r="AG714" s="61" t="n"/>
      <c r="AH714" s="61" t="n"/>
    </row>
    <row r="715" ht="15.75" customHeight="1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  <c r="M715" s="61" t="n"/>
      <c r="N715" s="61" t="n"/>
      <c r="O715" s="61" t="n"/>
      <c r="P715" s="61" t="n"/>
      <c r="Q715" s="61" t="n"/>
      <c r="R715" s="61" t="n"/>
      <c r="S715" s="61" t="n"/>
      <c r="T715" s="61" t="n"/>
      <c r="U715" s="61" t="n"/>
      <c r="V715" s="61" t="n"/>
      <c r="W715" s="61" t="n"/>
      <c r="X715" s="61" t="n"/>
      <c r="Y715" s="61" t="n"/>
      <c r="Z715" s="61" t="n"/>
      <c r="AA715" s="61" t="n"/>
      <c r="AB715" s="61" t="n"/>
      <c r="AC715" s="61" t="n"/>
      <c r="AD715" s="61" t="n"/>
      <c r="AE715" s="61" t="n"/>
      <c r="AF715" s="61" t="n"/>
      <c r="AG715" s="61" t="n"/>
      <c r="AH715" s="61" t="n"/>
    </row>
    <row r="716" ht="15.75" customHeight="1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  <c r="M716" s="61" t="n"/>
      <c r="N716" s="61" t="n"/>
      <c r="O716" s="61" t="n"/>
      <c r="P716" s="61" t="n"/>
      <c r="Q716" s="61" t="n"/>
      <c r="R716" s="61" t="n"/>
      <c r="S716" s="61" t="n"/>
      <c r="T716" s="61" t="n"/>
      <c r="U716" s="61" t="n"/>
      <c r="V716" s="61" t="n"/>
      <c r="W716" s="61" t="n"/>
      <c r="X716" s="61" t="n"/>
      <c r="Y716" s="61" t="n"/>
      <c r="Z716" s="61" t="n"/>
      <c r="AA716" s="61" t="n"/>
      <c r="AB716" s="61" t="n"/>
      <c r="AC716" s="61" t="n"/>
      <c r="AD716" s="61" t="n"/>
      <c r="AE716" s="61" t="n"/>
      <c r="AF716" s="61" t="n"/>
      <c r="AG716" s="61" t="n"/>
      <c r="AH716" s="61" t="n"/>
    </row>
    <row r="717" ht="15.75" customHeight="1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  <c r="M717" s="61" t="n"/>
      <c r="N717" s="61" t="n"/>
      <c r="O717" s="61" t="n"/>
      <c r="P717" s="61" t="n"/>
      <c r="Q717" s="61" t="n"/>
      <c r="R717" s="61" t="n"/>
      <c r="S717" s="61" t="n"/>
      <c r="T717" s="61" t="n"/>
      <c r="U717" s="61" t="n"/>
      <c r="V717" s="61" t="n"/>
      <c r="W717" s="61" t="n"/>
      <c r="X717" s="61" t="n"/>
      <c r="Y717" s="61" t="n"/>
      <c r="Z717" s="61" t="n"/>
      <c r="AA717" s="61" t="n"/>
      <c r="AB717" s="61" t="n"/>
      <c r="AC717" s="61" t="n"/>
      <c r="AD717" s="61" t="n"/>
      <c r="AE717" s="61" t="n"/>
      <c r="AF717" s="61" t="n"/>
      <c r="AG717" s="61" t="n"/>
      <c r="AH717" s="61" t="n"/>
    </row>
    <row r="718" ht="15.75" customHeight="1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  <c r="M718" s="61" t="n"/>
      <c r="N718" s="61" t="n"/>
      <c r="O718" s="61" t="n"/>
      <c r="P718" s="61" t="n"/>
      <c r="Q718" s="61" t="n"/>
      <c r="R718" s="61" t="n"/>
      <c r="S718" s="61" t="n"/>
      <c r="T718" s="61" t="n"/>
      <c r="U718" s="61" t="n"/>
      <c r="V718" s="61" t="n"/>
      <c r="W718" s="61" t="n"/>
      <c r="X718" s="61" t="n"/>
      <c r="Y718" s="61" t="n"/>
      <c r="Z718" s="61" t="n"/>
      <c r="AA718" s="61" t="n"/>
      <c r="AB718" s="61" t="n"/>
      <c r="AC718" s="61" t="n"/>
      <c r="AD718" s="61" t="n"/>
      <c r="AE718" s="61" t="n"/>
      <c r="AF718" s="61" t="n"/>
      <c r="AG718" s="61" t="n"/>
      <c r="AH718" s="61" t="n"/>
    </row>
    <row r="719" ht="15.75" customHeight="1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  <c r="M719" s="61" t="n"/>
      <c r="N719" s="61" t="n"/>
      <c r="O719" s="61" t="n"/>
      <c r="P719" s="61" t="n"/>
      <c r="Q719" s="61" t="n"/>
      <c r="R719" s="61" t="n"/>
      <c r="S719" s="61" t="n"/>
      <c r="T719" s="61" t="n"/>
      <c r="U719" s="61" t="n"/>
      <c r="V719" s="61" t="n"/>
      <c r="W719" s="61" t="n"/>
      <c r="X719" s="61" t="n"/>
      <c r="Y719" s="61" t="n"/>
      <c r="Z719" s="61" t="n"/>
      <c r="AA719" s="61" t="n"/>
      <c r="AB719" s="61" t="n"/>
      <c r="AC719" s="61" t="n"/>
      <c r="AD719" s="61" t="n"/>
      <c r="AE719" s="61" t="n"/>
      <c r="AF719" s="61" t="n"/>
      <c r="AG719" s="61" t="n"/>
      <c r="AH719" s="61" t="n"/>
    </row>
    <row r="720" ht="15.75" customHeight="1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  <c r="M720" s="61" t="n"/>
      <c r="N720" s="61" t="n"/>
      <c r="O720" s="61" t="n"/>
      <c r="P720" s="61" t="n"/>
      <c r="Q720" s="61" t="n"/>
      <c r="R720" s="61" t="n"/>
      <c r="S720" s="61" t="n"/>
      <c r="T720" s="61" t="n"/>
      <c r="U720" s="61" t="n"/>
      <c r="V720" s="61" t="n"/>
      <c r="W720" s="61" t="n"/>
      <c r="X720" s="61" t="n"/>
      <c r="Y720" s="61" t="n"/>
      <c r="Z720" s="61" t="n"/>
      <c r="AA720" s="61" t="n"/>
      <c r="AB720" s="61" t="n"/>
      <c r="AC720" s="61" t="n"/>
      <c r="AD720" s="61" t="n"/>
      <c r="AE720" s="61" t="n"/>
      <c r="AF720" s="61" t="n"/>
      <c r="AG720" s="61" t="n"/>
      <c r="AH720" s="61" t="n"/>
    </row>
    <row r="721" ht="15.75" customHeight="1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  <c r="M721" s="61" t="n"/>
      <c r="N721" s="61" t="n"/>
      <c r="O721" s="61" t="n"/>
      <c r="P721" s="61" t="n"/>
      <c r="Q721" s="61" t="n"/>
      <c r="R721" s="61" t="n"/>
      <c r="S721" s="61" t="n"/>
      <c r="T721" s="61" t="n"/>
      <c r="U721" s="61" t="n"/>
      <c r="V721" s="61" t="n"/>
      <c r="W721" s="61" t="n"/>
      <c r="X721" s="61" t="n"/>
      <c r="Y721" s="61" t="n"/>
      <c r="Z721" s="61" t="n"/>
      <c r="AA721" s="61" t="n"/>
      <c r="AB721" s="61" t="n"/>
      <c r="AC721" s="61" t="n"/>
      <c r="AD721" s="61" t="n"/>
      <c r="AE721" s="61" t="n"/>
      <c r="AF721" s="61" t="n"/>
      <c r="AG721" s="61" t="n"/>
      <c r="AH721" s="61" t="n"/>
    </row>
    <row r="722" ht="15.75" customHeight="1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  <c r="M722" s="61" t="n"/>
      <c r="N722" s="61" t="n"/>
      <c r="O722" s="61" t="n"/>
      <c r="P722" s="61" t="n"/>
      <c r="Q722" s="61" t="n"/>
      <c r="R722" s="61" t="n"/>
      <c r="S722" s="61" t="n"/>
      <c r="T722" s="61" t="n"/>
      <c r="U722" s="61" t="n"/>
      <c r="V722" s="61" t="n"/>
      <c r="W722" s="61" t="n"/>
      <c r="X722" s="61" t="n"/>
      <c r="Y722" s="61" t="n"/>
      <c r="Z722" s="61" t="n"/>
      <c r="AA722" s="61" t="n"/>
      <c r="AB722" s="61" t="n"/>
      <c r="AC722" s="61" t="n"/>
      <c r="AD722" s="61" t="n"/>
      <c r="AE722" s="61" t="n"/>
      <c r="AF722" s="61" t="n"/>
      <c r="AG722" s="61" t="n"/>
      <c r="AH722" s="61" t="n"/>
    </row>
    <row r="723" ht="15.75" customHeight="1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  <c r="M723" s="61" t="n"/>
      <c r="N723" s="61" t="n"/>
      <c r="O723" s="61" t="n"/>
      <c r="P723" s="61" t="n"/>
      <c r="Q723" s="61" t="n"/>
      <c r="R723" s="61" t="n"/>
      <c r="S723" s="61" t="n"/>
      <c r="T723" s="61" t="n"/>
      <c r="U723" s="61" t="n"/>
      <c r="V723" s="61" t="n"/>
      <c r="W723" s="61" t="n"/>
      <c r="X723" s="61" t="n"/>
      <c r="Y723" s="61" t="n"/>
      <c r="Z723" s="61" t="n"/>
      <c r="AA723" s="61" t="n"/>
      <c r="AB723" s="61" t="n"/>
      <c r="AC723" s="61" t="n"/>
      <c r="AD723" s="61" t="n"/>
      <c r="AE723" s="61" t="n"/>
      <c r="AF723" s="61" t="n"/>
      <c r="AG723" s="61" t="n"/>
      <c r="AH723" s="61" t="n"/>
    </row>
    <row r="724" ht="15.75" customHeight="1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  <c r="M724" s="61" t="n"/>
      <c r="N724" s="61" t="n"/>
      <c r="O724" s="61" t="n"/>
      <c r="P724" s="61" t="n"/>
      <c r="Q724" s="61" t="n"/>
      <c r="R724" s="61" t="n"/>
      <c r="S724" s="61" t="n"/>
      <c r="T724" s="61" t="n"/>
      <c r="U724" s="61" t="n"/>
      <c r="V724" s="61" t="n"/>
      <c r="W724" s="61" t="n"/>
      <c r="X724" s="61" t="n"/>
      <c r="Y724" s="61" t="n"/>
      <c r="Z724" s="61" t="n"/>
      <c r="AA724" s="61" t="n"/>
      <c r="AB724" s="61" t="n"/>
      <c r="AC724" s="61" t="n"/>
      <c r="AD724" s="61" t="n"/>
      <c r="AE724" s="61" t="n"/>
      <c r="AF724" s="61" t="n"/>
      <c r="AG724" s="61" t="n"/>
      <c r="AH724" s="61" t="n"/>
    </row>
    <row r="725" ht="15.75" customHeight="1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  <c r="M725" s="61" t="n"/>
      <c r="N725" s="61" t="n"/>
      <c r="O725" s="61" t="n"/>
      <c r="P725" s="61" t="n"/>
      <c r="Q725" s="61" t="n"/>
      <c r="R725" s="61" t="n"/>
      <c r="S725" s="61" t="n"/>
      <c r="T725" s="61" t="n"/>
      <c r="U725" s="61" t="n"/>
      <c r="V725" s="61" t="n"/>
      <c r="W725" s="61" t="n"/>
      <c r="X725" s="61" t="n"/>
      <c r="Y725" s="61" t="n"/>
      <c r="Z725" s="61" t="n"/>
      <c r="AA725" s="61" t="n"/>
      <c r="AB725" s="61" t="n"/>
      <c r="AC725" s="61" t="n"/>
      <c r="AD725" s="61" t="n"/>
      <c r="AE725" s="61" t="n"/>
      <c r="AF725" s="61" t="n"/>
      <c r="AG725" s="61" t="n"/>
      <c r="AH725" s="61" t="n"/>
    </row>
    <row r="726" ht="15.75" customHeight="1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  <c r="M726" s="61" t="n"/>
      <c r="N726" s="61" t="n"/>
      <c r="O726" s="61" t="n"/>
      <c r="P726" s="61" t="n"/>
      <c r="Q726" s="61" t="n"/>
      <c r="R726" s="61" t="n"/>
      <c r="S726" s="61" t="n"/>
      <c r="T726" s="61" t="n"/>
      <c r="U726" s="61" t="n"/>
      <c r="V726" s="61" t="n"/>
      <c r="W726" s="61" t="n"/>
      <c r="X726" s="61" t="n"/>
      <c r="Y726" s="61" t="n"/>
      <c r="Z726" s="61" t="n"/>
      <c r="AA726" s="61" t="n"/>
      <c r="AB726" s="61" t="n"/>
      <c r="AC726" s="61" t="n"/>
      <c r="AD726" s="61" t="n"/>
      <c r="AE726" s="61" t="n"/>
      <c r="AF726" s="61" t="n"/>
      <c r="AG726" s="61" t="n"/>
      <c r="AH726" s="61" t="n"/>
    </row>
    <row r="727" ht="15.75" customHeight="1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  <c r="M727" s="61" t="n"/>
      <c r="N727" s="61" t="n"/>
      <c r="O727" s="61" t="n"/>
      <c r="P727" s="61" t="n"/>
      <c r="Q727" s="61" t="n"/>
      <c r="R727" s="61" t="n"/>
      <c r="S727" s="61" t="n"/>
      <c r="T727" s="61" t="n"/>
      <c r="U727" s="61" t="n"/>
      <c r="V727" s="61" t="n"/>
      <c r="W727" s="61" t="n"/>
      <c r="X727" s="61" t="n"/>
      <c r="Y727" s="61" t="n"/>
      <c r="Z727" s="61" t="n"/>
      <c r="AA727" s="61" t="n"/>
      <c r="AB727" s="61" t="n"/>
      <c r="AC727" s="61" t="n"/>
      <c r="AD727" s="61" t="n"/>
      <c r="AE727" s="61" t="n"/>
      <c r="AF727" s="61" t="n"/>
      <c r="AG727" s="61" t="n"/>
      <c r="AH727" s="61" t="n"/>
    </row>
    <row r="728" ht="15.75" customHeight="1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  <c r="M728" s="61" t="n"/>
      <c r="N728" s="61" t="n"/>
      <c r="O728" s="61" t="n"/>
      <c r="P728" s="61" t="n"/>
      <c r="Q728" s="61" t="n"/>
      <c r="R728" s="61" t="n"/>
      <c r="S728" s="61" t="n"/>
      <c r="T728" s="61" t="n"/>
      <c r="U728" s="61" t="n"/>
      <c r="V728" s="61" t="n"/>
      <c r="W728" s="61" t="n"/>
      <c r="X728" s="61" t="n"/>
      <c r="Y728" s="61" t="n"/>
      <c r="Z728" s="61" t="n"/>
      <c r="AA728" s="61" t="n"/>
      <c r="AB728" s="61" t="n"/>
      <c r="AC728" s="61" t="n"/>
      <c r="AD728" s="61" t="n"/>
      <c r="AE728" s="61" t="n"/>
      <c r="AF728" s="61" t="n"/>
      <c r="AG728" s="61" t="n"/>
      <c r="AH728" s="61" t="n"/>
    </row>
    <row r="729" ht="15.75" customHeight="1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  <c r="M729" s="61" t="n"/>
      <c r="N729" s="61" t="n"/>
      <c r="O729" s="61" t="n"/>
      <c r="P729" s="61" t="n"/>
      <c r="Q729" s="61" t="n"/>
      <c r="R729" s="61" t="n"/>
      <c r="S729" s="61" t="n"/>
      <c r="T729" s="61" t="n"/>
      <c r="U729" s="61" t="n"/>
      <c r="V729" s="61" t="n"/>
      <c r="W729" s="61" t="n"/>
      <c r="X729" s="61" t="n"/>
      <c r="Y729" s="61" t="n"/>
      <c r="Z729" s="61" t="n"/>
      <c r="AA729" s="61" t="n"/>
      <c r="AB729" s="61" t="n"/>
      <c r="AC729" s="61" t="n"/>
      <c r="AD729" s="61" t="n"/>
      <c r="AE729" s="61" t="n"/>
      <c r="AF729" s="61" t="n"/>
      <c r="AG729" s="61" t="n"/>
      <c r="AH729" s="61" t="n"/>
    </row>
    <row r="730" ht="15.75" customHeight="1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  <c r="M730" s="61" t="n"/>
      <c r="N730" s="61" t="n"/>
      <c r="O730" s="61" t="n"/>
      <c r="P730" s="61" t="n"/>
      <c r="Q730" s="61" t="n"/>
      <c r="R730" s="61" t="n"/>
      <c r="S730" s="61" t="n"/>
      <c r="T730" s="61" t="n"/>
      <c r="U730" s="61" t="n"/>
      <c r="V730" s="61" t="n"/>
      <c r="W730" s="61" t="n"/>
      <c r="X730" s="61" t="n"/>
      <c r="Y730" s="61" t="n"/>
      <c r="Z730" s="61" t="n"/>
      <c r="AA730" s="61" t="n"/>
      <c r="AB730" s="61" t="n"/>
      <c r="AC730" s="61" t="n"/>
      <c r="AD730" s="61" t="n"/>
      <c r="AE730" s="61" t="n"/>
      <c r="AF730" s="61" t="n"/>
      <c r="AG730" s="61" t="n"/>
      <c r="AH730" s="61" t="n"/>
    </row>
    <row r="731" ht="15.75" customHeight="1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  <c r="M731" s="61" t="n"/>
      <c r="N731" s="61" t="n"/>
      <c r="O731" s="61" t="n"/>
      <c r="P731" s="61" t="n"/>
      <c r="Q731" s="61" t="n"/>
      <c r="R731" s="61" t="n"/>
      <c r="S731" s="61" t="n"/>
      <c r="T731" s="61" t="n"/>
      <c r="U731" s="61" t="n"/>
      <c r="V731" s="61" t="n"/>
      <c r="W731" s="61" t="n"/>
      <c r="X731" s="61" t="n"/>
      <c r="Y731" s="61" t="n"/>
      <c r="Z731" s="61" t="n"/>
      <c r="AA731" s="61" t="n"/>
      <c r="AB731" s="61" t="n"/>
      <c r="AC731" s="61" t="n"/>
      <c r="AD731" s="61" t="n"/>
      <c r="AE731" s="61" t="n"/>
      <c r="AF731" s="61" t="n"/>
      <c r="AG731" s="61" t="n"/>
      <c r="AH731" s="61" t="n"/>
    </row>
    <row r="732" ht="15.75" customHeight="1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  <c r="M732" s="61" t="n"/>
      <c r="N732" s="61" t="n"/>
      <c r="O732" s="61" t="n"/>
      <c r="P732" s="61" t="n"/>
      <c r="Q732" s="61" t="n"/>
      <c r="R732" s="61" t="n"/>
      <c r="S732" s="61" t="n"/>
      <c r="T732" s="61" t="n"/>
      <c r="U732" s="61" t="n"/>
      <c r="V732" s="61" t="n"/>
      <c r="W732" s="61" t="n"/>
      <c r="X732" s="61" t="n"/>
      <c r="Y732" s="61" t="n"/>
      <c r="Z732" s="61" t="n"/>
      <c r="AA732" s="61" t="n"/>
      <c r="AB732" s="61" t="n"/>
      <c r="AC732" s="61" t="n"/>
      <c r="AD732" s="61" t="n"/>
      <c r="AE732" s="61" t="n"/>
      <c r="AF732" s="61" t="n"/>
      <c r="AG732" s="61" t="n"/>
      <c r="AH732" s="61" t="n"/>
    </row>
    <row r="733" ht="15.75" customHeight="1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  <c r="M733" s="61" t="n"/>
      <c r="N733" s="61" t="n"/>
      <c r="O733" s="61" t="n"/>
      <c r="P733" s="61" t="n"/>
      <c r="Q733" s="61" t="n"/>
      <c r="R733" s="61" t="n"/>
      <c r="S733" s="61" t="n"/>
      <c r="T733" s="61" t="n"/>
      <c r="U733" s="61" t="n"/>
      <c r="V733" s="61" t="n"/>
      <c r="W733" s="61" t="n"/>
      <c r="X733" s="61" t="n"/>
      <c r="Y733" s="61" t="n"/>
      <c r="Z733" s="61" t="n"/>
      <c r="AA733" s="61" t="n"/>
      <c r="AB733" s="61" t="n"/>
      <c r="AC733" s="61" t="n"/>
      <c r="AD733" s="61" t="n"/>
      <c r="AE733" s="61" t="n"/>
      <c r="AF733" s="61" t="n"/>
      <c r="AG733" s="61" t="n"/>
      <c r="AH733" s="61" t="n"/>
    </row>
    <row r="734" ht="15.75" customHeight="1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  <c r="M734" s="61" t="n"/>
      <c r="N734" s="61" t="n"/>
      <c r="O734" s="61" t="n"/>
      <c r="P734" s="61" t="n"/>
      <c r="Q734" s="61" t="n"/>
      <c r="R734" s="61" t="n"/>
      <c r="S734" s="61" t="n"/>
      <c r="T734" s="61" t="n"/>
      <c r="U734" s="61" t="n"/>
      <c r="V734" s="61" t="n"/>
      <c r="W734" s="61" t="n"/>
      <c r="X734" s="61" t="n"/>
      <c r="Y734" s="61" t="n"/>
      <c r="Z734" s="61" t="n"/>
      <c r="AA734" s="61" t="n"/>
      <c r="AB734" s="61" t="n"/>
      <c r="AC734" s="61" t="n"/>
      <c r="AD734" s="61" t="n"/>
      <c r="AE734" s="61" t="n"/>
      <c r="AF734" s="61" t="n"/>
      <c r="AG734" s="61" t="n"/>
      <c r="AH734" s="61" t="n"/>
    </row>
    <row r="735" ht="15.75" customHeight="1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  <c r="M735" s="61" t="n"/>
      <c r="N735" s="61" t="n"/>
      <c r="O735" s="61" t="n"/>
      <c r="P735" s="61" t="n"/>
      <c r="Q735" s="61" t="n"/>
      <c r="R735" s="61" t="n"/>
      <c r="S735" s="61" t="n"/>
      <c r="T735" s="61" t="n"/>
      <c r="U735" s="61" t="n"/>
      <c r="V735" s="61" t="n"/>
      <c r="W735" s="61" t="n"/>
      <c r="X735" s="61" t="n"/>
      <c r="Y735" s="61" t="n"/>
      <c r="Z735" s="61" t="n"/>
      <c r="AA735" s="61" t="n"/>
      <c r="AB735" s="61" t="n"/>
      <c r="AC735" s="61" t="n"/>
      <c r="AD735" s="61" t="n"/>
      <c r="AE735" s="61" t="n"/>
      <c r="AF735" s="61" t="n"/>
      <c r="AG735" s="61" t="n"/>
      <c r="AH735" s="61" t="n"/>
    </row>
    <row r="736" ht="15.75" customHeight="1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  <c r="M736" s="61" t="n"/>
      <c r="N736" s="61" t="n"/>
      <c r="O736" s="61" t="n"/>
      <c r="P736" s="61" t="n"/>
      <c r="Q736" s="61" t="n"/>
      <c r="R736" s="61" t="n"/>
      <c r="S736" s="61" t="n"/>
      <c r="T736" s="61" t="n"/>
      <c r="U736" s="61" t="n"/>
      <c r="V736" s="61" t="n"/>
      <c r="W736" s="61" t="n"/>
      <c r="X736" s="61" t="n"/>
      <c r="Y736" s="61" t="n"/>
      <c r="Z736" s="61" t="n"/>
      <c r="AA736" s="61" t="n"/>
      <c r="AB736" s="61" t="n"/>
      <c r="AC736" s="61" t="n"/>
      <c r="AD736" s="61" t="n"/>
      <c r="AE736" s="61" t="n"/>
      <c r="AF736" s="61" t="n"/>
      <c r="AG736" s="61" t="n"/>
      <c r="AH736" s="61" t="n"/>
    </row>
    <row r="737" ht="15.75" customHeight="1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  <c r="M737" s="61" t="n"/>
      <c r="N737" s="61" t="n"/>
      <c r="O737" s="61" t="n"/>
      <c r="P737" s="61" t="n"/>
      <c r="Q737" s="61" t="n"/>
      <c r="R737" s="61" t="n"/>
      <c r="S737" s="61" t="n"/>
      <c r="T737" s="61" t="n"/>
      <c r="U737" s="61" t="n"/>
      <c r="V737" s="61" t="n"/>
      <c r="W737" s="61" t="n"/>
      <c r="X737" s="61" t="n"/>
      <c r="Y737" s="61" t="n"/>
      <c r="Z737" s="61" t="n"/>
      <c r="AA737" s="61" t="n"/>
      <c r="AB737" s="61" t="n"/>
      <c r="AC737" s="61" t="n"/>
      <c r="AD737" s="61" t="n"/>
      <c r="AE737" s="61" t="n"/>
      <c r="AF737" s="61" t="n"/>
      <c r="AG737" s="61" t="n"/>
      <c r="AH737" s="61" t="n"/>
    </row>
    <row r="738" ht="15.75" customHeight="1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  <c r="M738" s="61" t="n"/>
      <c r="N738" s="61" t="n"/>
      <c r="O738" s="61" t="n"/>
      <c r="P738" s="61" t="n"/>
      <c r="Q738" s="61" t="n"/>
      <c r="R738" s="61" t="n"/>
      <c r="S738" s="61" t="n"/>
      <c r="T738" s="61" t="n"/>
      <c r="U738" s="61" t="n"/>
      <c r="V738" s="61" t="n"/>
      <c r="W738" s="61" t="n"/>
      <c r="X738" s="61" t="n"/>
      <c r="Y738" s="61" t="n"/>
      <c r="Z738" s="61" t="n"/>
      <c r="AA738" s="61" t="n"/>
      <c r="AB738" s="61" t="n"/>
      <c r="AC738" s="61" t="n"/>
      <c r="AD738" s="61" t="n"/>
      <c r="AE738" s="61" t="n"/>
      <c r="AF738" s="61" t="n"/>
      <c r="AG738" s="61" t="n"/>
      <c r="AH738" s="61" t="n"/>
    </row>
    <row r="739" ht="15.75" customHeight="1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  <c r="M739" s="61" t="n"/>
      <c r="N739" s="61" t="n"/>
      <c r="O739" s="61" t="n"/>
      <c r="P739" s="61" t="n"/>
      <c r="Q739" s="61" t="n"/>
      <c r="R739" s="61" t="n"/>
      <c r="S739" s="61" t="n"/>
      <c r="T739" s="61" t="n"/>
      <c r="U739" s="61" t="n"/>
      <c r="V739" s="61" t="n"/>
      <c r="W739" s="61" t="n"/>
      <c r="X739" s="61" t="n"/>
      <c r="Y739" s="61" t="n"/>
      <c r="Z739" s="61" t="n"/>
      <c r="AA739" s="61" t="n"/>
      <c r="AB739" s="61" t="n"/>
      <c r="AC739" s="61" t="n"/>
      <c r="AD739" s="61" t="n"/>
      <c r="AE739" s="61" t="n"/>
      <c r="AF739" s="61" t="n"/>
      <c r="AG739" s="61" t="n"/>
      <c r="AH739" s="61" t="n"/>
    </row>
    <row r="740" ht="15.75" customHeight="1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  <c r="M740" s="61" t="n"/>
      <c r="N740" s="61" t="n"/>
      <c r="O740" s="61" t="n"/>
      <c r="P740" s="61" t="n"/>
      <c r="Q740" s="61" t="n"/>
      <c r="R740" s="61" t="n"/>
      <c r="S740" s="61" t="n"/>
      <c r="T740" s="61" t="n"/>
      <c r="U740" s="61" t="n"/>
      <c r="V740" s="61" t="n"/>
      <c r="W740" s="61" t="n"/>
      <c r="X740" s="61" t="n"/>
      <c r="Y740" s="61" t="n"/>
      <c r="Z740" s="61" t="n"/>
      <c r="AA740" s="61" t="n"/>
      <c r="AB740" s="61" t="n"/>
      <c r="AC740" s="61" t="n"/>
      <c r="AD740" s="61" t="n"/>
      <c r="AE740" s="61" t="n"/>
      <c r="AF740" s="61" t="n"/>
      <c r="AG740" s="61" t="n"/>
      <c r="AH740" s="61" t="n"/>
    </row>
    <row r="741" ht="15.75" customHeight="1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  <c r="M741" s="61" t="n"/>
      <c r="N741" s="61" t="n"/>
      <c r="O741" s="61" t="n"/>
      <c r="P741" s="61" t="n"/>
      <c r="Q741" s="61" t="n"/>
      <c r="R741" s="61" t="n"/>
      <c r="S741" s="61" t="n"/>
      <c r="T741" s="61" t="n"/>
      <c r="U741" s="61" t="n"/>
      <c r="V741" s="61" t="n"/>
      <c r="W741" s="61" t="n"/>
      <c r="X741" s="61" t="n"/>
      <c r="Y741" s="61" t="n"/>
      <c r="Z741" s="61" t="n"/>
      <c r="AA741" s="61" t="n"/>
      <c r="AB741" s="61" t="n"/>
      <c r="AC741" s="61" t="n"/>
      <c r="AD741" s="61" t="n"/>
      <c r="AE741" s="61" t="n"/>
      <c r="AF741" s="61" t="n"/>
      <c r="AG741" s="61" t="n"/>
      <c r="AH741" s="61" t="n"/>
    </row>
    <row r="742" ht="15.75" customHeight="1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  <c r="M742" s="61" t="n"/>
      <c r="N742" s="61" t="n"/>
      <c r="O742" s="61" t="n"/>
      <c r="P742" s="61" t="n"/>
      <c r="Q742" s="61" t="n"/>
      <c r="R742" s="61" t="n"/>
      <c r="S742" s="61" t="n"/>
      <c r="T742" s="61" t="n"/>
      <c r="U742" s="61" t="n"/>
      <c r="V742" s="61" t="n"/>
      <c r="W742" s="61" t="n"/>
      <c r="X742" s="61" t="n"/>
      <c r="Y742" s="61" t="n"/>
      <c r="Z742" s="61" t="n"/>
      <c r="AA742" s="61" t="n"/>
      <c r="AB742" s="61" t="n"/>
      <c r="AC742" s="61" t="n"/>
      <c r="AD742" s="61" t="n"/>
      <c r="AE742" s="61" t="n"/>
      <c r="AF742" s="61" t="n"/>
      <c r="AG742" s="61" t="n"/>
      <c r="AH742" s="61" t="n"/>
    </row>
    <row r="743" ht="15.75" customHeight="1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  <c r="M743" s="61" t="n"/>
      <c r="N743" s="61" t="n"/>
      <c r="O743" s="61" t="n"/>
      <c r="P743" s="61" t="n"/>
      <c r="Q743" s="61" t="n"/>
      <c r="R743" s="61" t="n"/>
      <c r="S743" s="61" t="n"/>
      <c r="T743" s="61" t="n"/>
      <c r="U743" s="61" t="n"/>
      <c r="V743" s="61" t="n"/>
      <c r="W743" s="61" t="n"/>
      <c r="X743" s="61" t="n"/>
      <c r="Y743" s="61" t="n"/>
      <c r="Z743" s="61" t="n"/>
      <c r="AA743" s="61" t="n"/>
      <c r="AB743" s="61" t="n"/>
      <c r="AC743" s="61" t="n"/>
      <c r="AD743" s="61" t="n"/>
      <c r="AE743" s="61" t="n"/>
      <c r="AF743" s="61" t="n"/>
      <c r="AG743" s="61" t="n"/>
      <c r="AH743" s="61" t="n"/>
    </row>
    <row r="744" ht="15.75" customHeight="1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  <c r="M744" s="61" t="n"/>
      <c r="N744" s="61" t="n"/>
      <c r="O744" s="61" t="n"/>
      <c r="P744" s="61" t="n"/>
      <c r="Q744" s="61" t="n"/>
      <c r="R744" s="61" t="n"/>
      <c r="S744" s="61" t="n"/>
      <c r="T744" s="61" t="n"/>
      <c r="U744" s="61" t="n"/>
      <c r="V744" s="61" t="n"/>
      <c r="W744" s="61" t="n"/>
      <c r="X744" s="61" t="n"/>
      <c r="Y744" s="61" t="n"/>
      <c r="Z744" s="61" t="n"/>
      <c r="AA744" s="61" t="n"/>
      <c r="AB744" s="61" t="n"/>
      <c r="AC744" s="61" t="n"/>
      <c r="AD744" s="61" t="n"/>
      <c r="AE744" s="61" t="n"/>
      <c r="AF744" s="61" t="n"/>
      <c r="AG744" s="61" t="n"/>
      <c r="AH744" s="61" t="n"/>
    </row>
    <row r="745" ht="15.75" customHeight="1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  <c r="M745" s="61" t="n"/>
      <c r="N745" s="61" t="n"/>
      <c r="O745" s="61" t="n"/>
      <c r="P745" s="61" t="n"/>
      <c r="Q745" s="61" t="n"/>
      <c r="R745" s="61" t="n"/>
      <c r="S745" s="61" t="n"/>
      <c r="T745" s="61" t="n"/>
      <c r="U745" s="61" t="n"/>
      <c r="V745" s="61" t="n"/>
      <c r="W745" s="61" t="n"/>
      <c r="X745" s="61" t="n"/>
      <c r="Y745" s="61" t="n"/>
      <c r="Z745" s="61" t="n"/>
      <c r="AA745" s="61" t="n"/>
      <c r="AB745" s="61" t="n"/>
      <c r="AC745" s="61" t="n"/>
      <c r="AD745" s="61" t="n"/>
      <c r="AE745" s="61" t="n"/>
      <c r="AF745" s="61" t="n"/>
      <c r="AG745" s="61" t="n"/>
      <c r="AH745" s="61" t="n"/>
    </row>
    <row r="746" ht="15.75" customHeight="1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  <c r="M746" s="61" t="n"/>
      <c r="N746" s="61" t="n"/>
      <c r="O746" s="61" t="n"/>
      <c r="P746" s="61" t="n"/>
      <c r="Q746" s="61" t="n"/>
      <c r="R746" s="61" t="n"/>
      <c r="S746" s="61" t="n"/>
      <c r="T746" s="61" t="n"/>
      <c r="U746" s="61" t="n"/>
      <c r="V746" s="61" t="n"/>
      <c r="W746" s="61" t="n"/>
      <c r="X746" s="61" t="n"/>
      <c r="Y746" s="61" t="n"/>
      <c r="Z746" s="61" t="n"/>
      <c r="AA746" s="61" t="n"/>
      <c r="AB746" s="61" t="n"/>
      <c r="AC746" s="61" t="n"/>
      <c r="AD746" s="61" t="n"/>
      <c r="AE746" s="61" t="n"/>
      <c r="AF746" s="61" t="n"/>
      <c r="AG746" s="61" t="n"/>
      <c r="AH746" s="61" t="n"/>
    </row>
    <row r="747" ht="15.75" customHeight="1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  <c r="M747" s="61" t="n"/>
      <c r="N747" s="61" t="n"/>
      <c r="O747" s="61" t="n"/>
      <c r="P747" s="61" t="n"/>
      <c r="Q747" s="61" t="n"/>
      <c r="R747" s="61" t="n"/>
      <c r="S747" s="61" t="n"/>
      <c r="T747" s="61" t="n"/>
      <c r="U747" s="61" t="n"/>
      <c r="V747" s="61" t="n"/>
      <c r="W747" s="61" t="n"/>
      <c r="X747" s="61" t="n"/>
      <c r="Y747" s="61" t="n"/>
      <c r="Z747" s="61" t="n"/>
      <c r="AA747" s="61" t="n"/>
      <c r="AB747" s="61" t="n"/>
      <c r="AC747" s="61" t="n"/>
      <c r="AD747" s="61" t="n"/>
      <c r="AE747" s="61" t="n"/>
      <c r="AF747" s="61" t="n"/>
      <c r="AG747" s="61" t="n"/>
      <c r="AH747" s="61" t="n"/>
    </row>
    <row r="748" ht="15.75" customHeight="1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  <c r="M748" s="61" t="n"/>
      <c r="N748" s="61" t="n"/>
      <c r="O748" s="61" t="n"/>
      <c r="P748" s="61" t="n"/>
      <c r="Q748" s="61" t="n"/>
      <c r="R748" s="61" t="n"/>
      <c r="S748" s="61" t="n"/>
      <c r="T748" s="61" t="n"/>
      <c r="U748" s="61" t="n"/>
      <c r="V748" s="61" t="n"/>
      <c r="W748" s="61" t="n"/>
      <c r="X748" s="61" t="n"/>
      <c r="Y748" s="61" t="n"/>
      <c r="Z748" s="61" t="n"/>
      <c r="AA748" s="61" t="n"/>
      <c r="AB748" s="61" t="n"/>
      <c r="AC748" s="61" t="n"/>
      <c r="AD748" s="61" t="n"/>
      <c r="AE748" s="61" t="n"/>
      <c r="AF748" s="61" t="n"/>
      <c r="AG748" s="61" t="n"/>
      <c r="AH748" s="61" t="n"/>
    </row>
    <row r="749" ht="15.75" customHeight="1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  <c r="M749" s="61" t="n"/>
      <c r="N749" s="61" t="n"/>
      <c r="O749" s="61" t="n"/>
      <c r="P749" s="61" t="n"/>
      <c r="Q749" s="61" t="n"/>
      <c r="R749" s="61" t="n"/>
      <c r="S749" s="61" t="n"/>
      <c r="T749" s="61" t="n"/>
      <c r="U749" s="61" t="n"/>
      <c r="V749" s="61" t="n"/>
      <c r="W749" s="61" t="n"/>
      <c r="X749" s="61" t="n"/>
      <c r="Y749" s="61" t="n"/>
      <c r="Z749" s="61" t="n"/>
      <c r="AA749" s="61" t="n"/>
      <c r="AB749" s="61" t="n"/>
      <c r="AC749" s="61" t="n"/>
      <c r="AD749" s="61" t="n"/>
      <c r="AE749" s="61" t="n"/>
      <c r="AF749" s="61" t="n"/>
      <c r="AG749" s="61" t="n"/>
      <c r="AH749" s="61" t="n"/>
    </row>
    <row r="750" ht="15.75" customHeight="1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  <c r="M750" s="61" t="n"/>
      <c r="N750" s="61" t="n"/>
      <c r="O750" s="61" t="n"/>
      <c r="P750" s="61" t="n"/>
      <c r="Q750" s="61" t="n"/>
      <c r="R750" s="61" t="n"/>
      <c r="S750" s="61" t="n"/>
      <c r="T750" s="61" t="n"/>
      <c r="U750" s="61" t="n"/>
      <c r="V750" s="61" t="n"/>
      <c r="W750" s="61" t="n"/>
      <c r="X750" s="61" t="n"/>
      <c r="Y750" s="61" t="n"/>
      <c r="Z750" s="61" t="n"/>
      <c r="AA750" s="61" t="n"/>
      <c r="AB750" s="61" t="n"/>
      <c r="AC750" s="61" t="n"/>
      <c r="AD750" s="61" t="n"/>
      <c r="AE750" s="61" t="n"/>
      <c r="AF750" s="61" t="n"/>
      <c r="AG750" s="61" t="n"/>
      <c r="AH750" s="61" t="n"/>
    </row>
    <row r="751" ht="15.75" customHeight="1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  <c r="M751" s="61" t="n"/>
      <c r="N751" s="61" t="n"/>
      <c r="O751" s="61" t="n"/>
      <c r="P751" s="61" t="n"/>
      <c r="Q751" s="61" t="n"/>
      <c r="R751" s="61" t="n"/>
      <c r="S751" s="61" t="n"/>
      <c r="T751" s="61" t="n"/>
      <c r="U751" s="61" t="n"/>
      <c r="V751" s="61" t="n"/>
      <c r="W751" s="61" t="n"/>
      <c r="X751" s="61" t="n"/>
      <c r="Y751" s="61" t="n"/>
      <c r="Z751" s="61" t="n"/>
      <c r="AA751" s="61" t="n"/>
      <c r="AB751" s="61" t="n"/>
      <c r="AC751" s="61" t="n"/>
      <c r="AD751" s="61" t="n"/>
      <c r="AE751" s="61" t="n"/>
      <c r="AF751" s="61" t="n"/>
      <c r="AG751" s="61" t="n"/>
      <c r="AH751" s="61" t="n"/>
    </row>
    <row r="752" ht="15.75" customHeight="1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  <c r="M752" s="61" t="n"/>
      <c r="N752" s="61" t="n"/>
      <c r="O752" s="61" t="n"/>
      <c r="P752" s="61" t="n"/>
      <c r="Q752" s="61" t="n"/>
      <c r="R752" s="61" t="n"/>
      <c r="S752" s="61" t="n"/>
      <c r="T752" s="61" t="n"/>
      <c r="U752" s="61" t="n"/>
      <c r="V752" s="61" t="n"/>
      <c r="W752" s="61" t="n"/>
      <c r="X752" s="61" t="n"/>
      <c r="Y752" s="61" t="n"/>
      <c r="Z752" s="61" t="n"/>
      <c r="AA752" s="61" t="n"/>
      <c r="AB752" s="61" t="n"/>
      <c r="AC752" s="61" t="n"/>
      <c r="AD752" s="61" t="n"/>
      <c r="AE752" s="61" t="n"/>
      <c r="AF752" s="61" t="n"/>
      <c r="AG752" s="61" t="n"/>
      <c r="AH752" s="61" t="n"/>
    </row>
    <row r="753" ht="15.75" customHeight="1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  <c r="M753" s="61" t="n"/>
      <c r="N753" s="61" t="n"/>
      <c r="O753" s="61" t="n"/>
      <c r="P753" s="61" t="n"/>
      <c r="Q753" s="61" t="n"/>
      <c r="R753" s="61" t="n"/>
      <c r="S753" s="61" t="n"/>
      <c r="T753" s="61" t="n"/>
      <c r="U753" s="61" t="n"/>
      <c r="V753" s="61" t="n"/>
      <c r="W753" s="61" t="n"/>
      <c r="X753" s="61" t="n"/>
      <c r="Y753" s="61" t="n"/>
      <c r="Z753" s="61" t="n"/>
      <c r="AA753" s="61" t="n"/>
      <c r="AB753" s="61" t="n"/>
      <c r="AC753" s="61" t="n"/>
      <c r="AD753" s="61" t="n"/>
      <c r="AE753" s="61" t="n"/>
      <c r="AF753" s="61" t="n"/>
      <c r="AG753" s="61" t="n"/>
      <c r="AH753" s="61" t="n"/>
    </row>
    <row r="754" ht="15.75" customHeight="1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  <c r="M754" s="61" t="n"/>
      <c r="N754" s="61" t="n"/>
      <c r="O754" s="61" t="n"/>
      <c r="P754" s="61" t="n"/>
      <c r="Q754" s="61" t="n"/>
      <c r="R754" s="61" t="n"/>
      <c r="S754" s="61" t="n"/>
      <c r="T754" s="61" t="n"/>
      <c r="U754" s="61" t="n"/>
      <c r="V754" s="61" t="n"/>
      <c r="W754" s="61" t="n"/>
      <c r="X754" s="61" t="n"/>
      <c r="Y754" s="61" t="n"/>
      <c r="Z754" s="61" t="n"/>
      <c r="AA754" s="61" t="n"/>
      <c r="AB754" s="61" t="n"/>
      <c r="AC754" s="61" t="n"/>
      <c r="AD754" s="61" t="n"/>
      <c r="AE754" s="61" t="n"/>
      <c r="AF754" s="61" t="n"/>
      <c r="AG754" s="61" t="n"/>
      <c r="AH754" s="61" t="n"/>
    </row>
    <row r="755" ht="15.75" customHeight="1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  <c r="M755" s="61" t="n"/>
      <c r="N755" s="61" t="n"/>
      <c r="O755" s="61" t="n"/>
      <c r="P755" s="61" t="n"/>
      <c r="Q755" s="61" t="n"/>
      <c r="R755" s="61" t="n"/>
      <c r="S755" s="61" t="n"/>
      <c r="T755" s="61" t="n"/>
      <c r="U755" s="61" t="n"/>
      <c r="V755" s="61" t="n"/>
      <c r="W755" s="61" t="n"/>
      <c r="X755" s="61" t="n"/>
      <c r="Y755" s="61" t="n"/>
      <c r="Z755" s="61" t="n"/>
      <c r="AA755" s="61" t="n"/>
      <c r="AB755" s="61" t="n"/>
      <c r="AC755" s="61" t="n"/>
      <c r="AD755" s="61" t="n"/>
      <c r="AE755" s="61" t="n"/>
      <c r="AF755" s="61" t="n"/>
      <c r="AG755" s="61" t="n"/>
      <c r="AH755" s="61" t="n"/>
    </row>
    <row r="756" ht="15.75" customHeight="1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  <c r="M756" s="61" t="n"/>
      <c r="N756" s="61" t="n"/>
      <c r="O756" s="61" t="n"/>
      <c r="P756" s="61" t="n"/>
      <c r="Q756" s="61" t="n"/>
      <c r="R756" s="61" t="n"/>
      <c r="S756" s="61" t="n"/>
      <c r="T756" s="61" t="n"/>
      <c r="U756" s="61" t="n"/>
      <c r="V756" s="61" t="n"/>
      <c r="W756" s="61" t="n"/>
      <c r="X756" s="61" t="n"/>
      <c r="Y756" s="61" t="n"/>
      <c r="Z756" s="61" t="n"/>
      <c r="AA756" s="61" t="n"/>
      <c r="AB756" s="61" t="n"/>
      <c r="AC756" s="61" t="n"/>
      <c r="AD756" s="61" t="n"/>
      <c r="AE756" s="61" t="n"/>
      <c r="AF756" s="61" t="n"/>
      <c r="AG756" s="61" t="n"/>
      <c r="AH756" s="61" t="n"/>
    </row>
    <row r="757" ht="15.75" customHeight="1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  <c r="M757" s="61" t="n"/>
      <c r="N757" s="61" t="n"/>
      <c r="O757" s="61" t="n"/>
      <c r="P757" s="61" t="n"/>
      <c r="Q757" s="61" t="n"/>
      <c r="R757" s="61" t="n"/>
      <c r="S757" s="61" t="n"/>
      <c r="T757" s="61" t="n"/>
      <c r="U757" s="61" t="n"/>
      <c r="V757" s="61" t="n"/>
      <c r="W757" s="61" t="n"/>
      <c r="X757" s="61" t="n"/>
      <c r="Y757" s="61" t="n"/>
      <c r="Z757" s="61" t="n"/>
      <c r="AA757" s="61" t="n"/>
      <c r="AB757" s="61" t="n"/>
      <c r="AC757" s="61" t="n"/>
      <c r="AD757" s="61" t="n"/>
      <c r="AE757" s="61" t="n"/>
      <c r="AF757" s="61" t="n"/>
      <c r="AG757" s="61" t="n"/>
      <c r="AH757" s="61" t="n"/>
    </row>
    <row r="758" ht="15.75" customHeight="1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  <c r="M758" s="61" t="n"/>
      <c r="N758" s="61" t="n"/>
      <c r="O758" s="61" t="n"/>
      <c r="P758" s="61" t="n"/>
      <c r="Q758" s="61" t="n"/>
      <c r="R758" s="61" t="n"/>
      <c r="S758" s="61" t="n"/>
      <c r="T758" s="61" t="n"/>
      <c r="U758" s="61" t="n"/>
      <c r="V758" s="61" t="n"/>
      <c r="W758" s="61" t="n"/>
      <c r="X758" s="61" t="n"/>
      <c r="Y758" s="61" t="n"/>
      <c r="Z758" s="61" t="n"/>
      <c r="AA758" s="61" t="n"/>
      <c r="AB758" s="61" t="n"/>
      <c r="AC758" s="61" t="n"/>
      <c r="AD758" s="61" t="n"/>
      <c r="AE758" s="61" t="n"/>
      <c r="AF758" s="61" t="n"/>
      <c r="AG758" s="61" t="n"/>
      <c r="AH758" s="61" t="n"/>
    </row>
    <row r="759" ht="15.75" customHeight="1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  <c r="M759" s="61" t="n"/>
      <c r="N759" s="61" t="n"/>
      <c r="O759" s="61" t="n"/>
      <c r="P759" s="61" t="n"/>
      <c r="Q759" s="61" t="n"/>
      <c r="R759" s="61" t="n"/>
      <c r="S759" s="61" t="n"/>
      <c r="T759" s="61" t="n"/>
      <c r="U759" s="61" t="n"/>
      <c r="V759" s="61" t="n"/>
      <c r="W759" s="61" t="n"/>
      <c r="X759" s="61" t="n"/>
      <c r="Y759" s="61" t="n"/>
      <c r="Z759" s="61" t="n"/>
      <c r="AA759" s="61" t="n"/>
      <c r="AB759" s="61" t="n"/>
      <c r="AC759" s="61" t="n"/>
      <c r="AD759" s="61" t="n"/>
      <c r="AE759" s="61" t="n"/>
      <c r="AF759" s="61" t="n"/>
      <c r="AG759" s="61" t="n"/>
      <c r="AH759" s="61" t="n"/>
    </row>
    <row r="760" ht="15.75" customHeight="1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  <c r="M760" s="61" t="n"/>
      <c r="N760" s="61" t="n"/>
      <c r="O760" s="61" t="n"/>
      <c r="P760" s="61" t="n"/>
      <c r="Q760" s="61" t="n"/>
      <c r="R760" s="61" t="n"/>
      <c r="S760" s="61" t="n"/>
      <c r="T760" s="61" t="n"/>
      <c r="U760" s="61" t="n"/>
      <c r="V760" s="61" t="n"/>
      <c r="W760" s="61" t="n"/>
      <c r="X760" s="61" t="n"/>
      <c r="Y760" s="61" t="n"/>
      <c r="Z760" s="61" t="n"/>
      <c r="AA760" s="61" t="n"/>
      <c r="AB760" s="61" t="n"/>
      <c r="AC760" s="61" t="n"/>
      <c r="AD760" s="61" t="n"/>
      <c r="AE760" s="61" t="n"/>
      <c r="AF760" s="61" t="n"/>
      <c r="AG760" s="61" t="n"/>
      <c r="AH760" s="61" t="n"/>
    </row>
    <row r="761" ht="15.75" customHeight="1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  <c r="M761" s="61" t="n"/>
      <c r="N761" s="61" t="n"/>
      <c r="O761" s="61" t="n"/>
      <c r="P761" s="61" t="n"/>
      <c r="Q761" s="61" t="n"/>
      <c r="R761" s="61" t="n"/>
      <c r="S761" s="61" t="n"/>
      <c r="T761" s="61" t="n"/>
      <c r="U761" s="61" t="n"/>
      <c r="V761" s="61" t="n"/>
      <c r="W761" s="61" t="n"/>
      <c r="X761" s="61" t="n"/>
      <c r="Y761" s="61" t="n"/>
      <c r="Z761" s="61" t="n"/>
      <c r="AA761" s="61" t="n"/>
      <c r="AB761" s="61" t="n"/>
      <c r="AC761" s="61" t="n"/>
      <c r="AD761" s="61" t="n"/>
      <c r="AE761" s="61" t="n"/>
      <c r="AF761" s="61" t="n"/>
      <c r="AG761" s="61" t="n"/>
      <c r="AH761" s="61" t="n"/>
    </row>
    <row r="762" ht="15.75" customHeight="1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  <c r="M762" s="61" t="n"/>
      <c r="N762" s="61" t="n"/>
      <c r="O762" s="61" t="n"/>
      <c r="P762" s="61" t="n"/>
      <c r="Q762" s="61" t="n"/>
      <c r="R762" s="61" t="n"/>
      <c r="S762" s="61" t="n"/>
      <c r="T762" s="61" t="n"/>
      <c r="U762" s="61" t="n"/>
      <c r="V762" s="61" t="n"/>
      <c r="W762" s="61" t="n"/>
      <c r="X762" s="61" t="n"/>
      <c r="Y762" s="61" t="n"/>
      <c r="Z762" s="61" t="n"/>
      <c r="AA762" s="61" t="n"/>
      <c r="AB762" s="61" t="n"/>
      <c r="AC762" s="61" t="n"/>
      <c r="AD762" s="61" t="n"/>
      <c r="AE762" s="61" t="n"/>
      <c r="AF762" s="61" t="n"/>
      <c r="AG762" s="61" t="n"/>
      <c r="AH762" s="61" t="n"/>
    </row>
    <row r="763" ht="15.75" customHeight="1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  <c r="M763" s="61" t="n"/>
      <c r="N763" s="61" t="n"/>
      <c r="O763" s="61" t="n"/>
      <c r="P763" s="61" t="n"/>
      <c r="Q763" s="61" t="n"/>
      <c r="R763" s="61" t="n"/>
      <c r="S763" s="61" t="n"/>
      <c r="T763" s="61" t="n"/>
      <c r="U763" s="61" t="n"/>
      <c r="V763" s="61" t="n"/>
      <c r="W763" s="61" t="n"/>
      <c r="X763" s="61" t="n"/>
      <c r="Y763" s="61" t="n"/>
      <c r="Z763" s="61" t="n"/>
      <c r="AA763" s="61" t="n"/>
      <c r="AB763" s="61" t="n"/>
      <c r="AC763" s="61" t="n"/>
      <c r="AD763" s="61" t="n"/>
      <c r="AE763" s="61" t="n"/>
      <c r="AF763" s="61" t="n"/>
      <c r="AG763" s="61" t="n"/>
      <c r="AH763" s="61" t="n"/>
    </row>
    <row r="764" ht="15.75" customHeight="1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  <c r="M764" s="61" t="n"/>
      <c r="N764" s="61" t="n"/>
      <c r="O764" s="61" t="n"/>
      <c r="P764" s="61" t="n"/>
      <c r="Q764" s="61" t="n"/>
      <c r="R764" s="61" t="n"/>
      <c r="S764" s="61" t="n"/>
      <c r="T764" s="61" t="n"/>
      <c r="U764" s="61" t="n"/>
      <c r="V764" s="61" t="n"/>
      <c r="W764" s="61" t="n"/>
      <c r="X764" s="61" t="n"/>
      <c r="Y764" s="61" t="n"/>
      <c r="Z764" s="61" t="n"/>
      <c r="AA764" s="61" t="n"/>
      <c r="AB764" s="61" t="n"/>
      <c r="AC764" s="61" t="n"/>
      <c r="AD764" s="61" t="n"/>
      <c r="AE764" s="61" t="n"/>
      <c r="AF764" s="61" t="n"/>
      <c r="AG764" s="61" t="n"/>
      <c r="AH764" s="61" t="n"/>
    </row>
    <row r="765" ht="15.75" customHeight="1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  <c r="M765" s="61" t="n"/>
      <c r="N765" s="61" t="n"/>
      <c r="O765" s="61" t="n"/>
      <c r="P765" s="61" t="n"/>
      <c r="Q765" s="61" t="n"/>
      <c r="R765" s="61" t="n"/>
      <c r="S765" s="61" t="n"/>
      <c r="T765" s="61" t="n"/>
      <c r="U765" s="61" t="n"/>
      <c r="V765" s="61" t="n"/>
      <c r="W765" s="61" t="n"/>
      <c r="X765" s="61" t="n"/>
      <c r="Y765" s="61" t="n"/>
      <c r="Z765" s="61" t="n"/>
      <c r="AA765" s="61" t="n"/>
      <c r="AB765" s="61" t="n"/>
      <c r="AC765" s="61" t="n"/>
      <c r="AD765" s="61" t="n"/>
      <c r="AE765" s="61" t="n"/>
      <c r="AF765" s="61" t="n"/>
      <c r="AG765" s="61" t="n"/>
      <c r="AH765" s="61" t="n"/>
    </row>
    <row r="766" ht="15.75" customHeight="1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  <c r="M766" s="61" t="n"/>
      <c r="N766" s="61" t="n"/>
      <c r="O766" s="61" t="n"/>
      <c r="P766" s="61" t="n"/>
      <c r="Q766" s="61" t="n"/>
      <c r="R766" s="61" t="n"/>
      <c r="S766" s="61" t="n"/>
      <c r="T766" s="61" t="n"/>
      <c r="U766" s="61" t="n"/>
      <c r="V766" s="61" t="n"/>
      <c r="W766" s="61" t="n"/>
      <c r="X766" s="61" t="n"/>
      <c r="Y766" s="61" t="n"/>
      <c r="Z766" s="61" t="n"/>
      <c r="AA766" s="61" t="n"/>
      <c r="AB766" s="61" t="n"/>
      <c r="AC766" s="61" t="n"/>
      <c r="AD766" s="61" t="n"/>
      <c r="AE766" s="61" t="n"/>
      <c r="AF766" s="61" t="n"/>
      <c r="AG766" s="61" t="n"/>
      <c r="AH766" s="61" t="n"/>
    </row>
    <row r="767" ht="15.75" customHeight="1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  <c r="M767" s="61" t="n"/>
      <c r="N767" s="61" t="n"/>
      <c r="O767" s="61" t="n"/>
      <c r="P767" s="61" t="n"/>
      <c r="Q767" s="61" t="n"/>
      <c r="R767" s="61" t="n"/>
      <c r="S767" s="61" t="n"/>
      <c r="T767" s="61" t="n"/>
      <c r="U767" s="61" t="n"/>
      <c r="V767" s="61" t="n"/>
      <c r="W767" s="61" t="n"/>
      <c r="X767" s="61" t="n"/>
      <c r="Y767" s="61" t="n"/>
      <c r="Z767" s="61" t="n"/>
      <c r="AA767" s="61" t="n"/>
      <c r="AB767" s="61" t="n"/>
      <c r="AC767" s="61" t="n"/>
      <c r="AD767" s="61" t="n"/>
      <c r="AE767" s="61" t="n"/>
      <c r="AF767" s="61" t="n"/>
      <c r="AG767" s="61" t="n"/>
      <c r="AH767" s="61" t="n"/>
    </row>
    <row r="768" ht="15.75" customHeight="1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  <c r="M768" s="61" t="n"/>
      <c r="N768" s="61" t="n"/>
      <c r="O768" s="61" t="n"/>
      <c r="P768" s="61" t="n"/>
      <c r="Q768" s="61" t="n"/>
      <c r="R768" s="61" t="n"/>
      <c r="S768" s="61" t="n"/>
      <c r="T768" s="61" t="n"/>
      <c r="U768" s="61" t="n"/>
      <c r="V768" s="61" t="n"/>
      <c r="W768" s="61" t="n"/>
      <c r="X768" s="61" t="n"/>
      <c r="Y768" s="61" t="n"/>
      <c r="Z768" s="61" t="n"/>
      <c r="AA768" s="61" t="n"/>
      <c r="AB768" s="61" t="n"/>
      <c r="AC768" s="61" t="n"/>
      <c r="AD768" s="61" t="n"/>
      <c r="AE768" s="61" t="n"/>
      <c r="AF768" s="61" t="n"/>
      <c r="AG768" s="61" t="n"/>
      <c r="AH768" s="61" t="n"/>
    </row>
    <row r="769" ht="15.75" customHeight="1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  <c r="M769" s="61" t="n"/>
      <c r="N769" s="61" t="n"/>
      <c r="O769" s="61" t="n"/>
      <c r="P769" s="61" t="n"/>
      <c r="Q769" s="61" t="n"/>
      <c r="R769" s="61" t="n"/>
      <c r="S769" s="61" t="n"/>
      <c r="T769" s="61" t="n"/>
      <c r="U769" s="61" t="n"/>
      <c r="V769" s="61" t="n"/>
      <c r="W769" s="61" t="n"/>
      <c r="X769" s="61" t="n"/>
      <c r="Y769" s="61" t="n"/>
      <c r="Z769" s="61" t="n"/>
      <c r="AA769" s="61" t="n"/>
      <c r="AB769" s="61" t="n"/>
      <c r="AC769" s="61" t="n"/>
      <c r="AD769" s="61" t="n"/>
      <c r="AE769" s="61" t="n"/>
      <c r="AF769" s="61" t="n"/>
      <c r="AG769" s="61" t="n"/>
      <c r="AH769" s="61" t="n"/>
    </row>
    <row r="770" ht="15.75" customHeight="1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  <c r="M770" s="61" t="n"/>
      <c r="N770" s="61" t="n"/>
      <c r="O770" s="61" t="n"/>
      <c r="P770" s="61" t="n"/>
      <c r="Q770" s="61" t="n"/>
      <c r="R770" s="61" t="n"/>
      <c r="S770" s="61" t="n"/>
      <c r="T770" s="61" t="n"/>
      <c r="U770" s="61" t="n"/>
      <c r="V770" s="61" t="n"/>
      <c r="W770" s="61" t="n"/>
      <c r="X770" s="61" t="n"/>
      <c r="Y770" s="61" t="n"/>
      <c r="Z770" s="61" t="n"/>
      <c r="AA770" s="61" t="n"/>
      <c r="AB770" s="61" t="n"/>
      <c r="AC770" s="61" t="n"/>
      <c r="AD770" s="61" t="n"/>
      <c r="AE770" s="61" t="n"/>
      <c r="AF770" s="61" t="n"/>
      <c r="AG770" s="61" t="n"/>
      <c r="AH770" s="61" t="n"/>
    </row>
    <row r="771" ht="15.75" customHeight="1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  <c r="M771" s="61" t="n"/>
      <c r="N771" s="61" t="n"/>
      <c r="O771" s="61" t="n"/>
      <c r="P771" s="61" t="n"/>
      <c r="Q771" s="61" t="n"/>
      <c r="R771" s="61" t="n"/>
      <c r="S771" s="61" t="n"/>
      <c r="T771" s="61" t="n"/>
      <c r="U771" s="61" t="n"/>
      <c r="V771" s="61" t="n"/>
      <c r="W771" s="61" t="n"/>
      <c r="X771" s="61" t="n"/>
      <c r="Y771" s="61" t="n"/>
      <c r="Z771" s="61" t="n"/>
      <c r="AA771" s="61" t="n"/>
      <c r="AB771" s="61" t="n"/>
      <c r="AC771" s="61" t="n"/>
      <c r="AD771" s="61" t="n"/>
      <c r="AE771" s="61" t="n"/>
      <c r="AF771" s="61" t="n"/>
      <c r="AG771" s="61" t="n"/>
      <c r="AH771" s="61" t="n"/>
    </row>
    <row r="772" ht="15.75" customHeight="1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  <c r="M772" s="61" t="n"/>
      <c r="N772" s="61" t="n"/>
      <c r="O772" s="61" t="n"/>
      <c r="P772" s="61" t="n"/>
      <c r="Q772" s="61" t="n"/>
      <c r="R772" s="61" t="n"/>
      <c r="S772" s="61" t="n"/>
      <c r="T772" s="61" t="n"/>
      <c r="U772" s="61" t="n"/>
      <c r="V772" s="61" t="n"/>
      <c r="W772" s="61" t="n"/>
      <c r="X772" s="61" t="n"/>
      <c r="Y772" s="61" t="n"/>
      <c r="Z772" s="61" t="n"/>
      <c r="AA772" s="61" t="n"/>
      <c r="AB772" s="61" t="n"/>
      <c r="AC772" s="61" t="n"/>
      <c r="AD772" s="61" t="n"/>
      <c r="AE772" s="61" t="n"/>
      <c r="AF772" s="61" t="n"/>
      <c r="AG772" s="61" t="n"/>
      <c r="AH772" s="61" t="n"/>
    </row>
    <row r="773" ht="15.75" customHeight="1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  <c r="M773" s="61" t="n"/>
      <c r="N773" s="61" t="n"/>
      <c r="O773" s="61" t="n"/>
      <c r="P773" s="61" t="n"/>
      <c r="Q773" s="61" t="n"/>
      <c r="R773" s="61" t="n"/>
      <c r="S773" s="61" t="n"/>
      <c r="T773" s="61" t="n"/>
      <c r="U773" s="61" t="n"/>
      <c r="V773" s="61" t="n"/>
      <c r="W773" s="61" t="n"/>
      <c r="X773" s="61" t="n"/>
      <c r="Y773" s="61" t="n"/>
      <c r="Z773" s="61" t="n"/>
      <c r="AA773" s="61" t="n"/>
      <c r="AB773" s="61" t="n"/>
      <c r="AC773" s="61" t="n"/>
      <c r="AD773" s="61" t="n"/>
      <c r="AE773" s="61" t="n"/>
      <c r="AF773" s="61" t="n"/>
      <c r="AG773" s="61" t="n"/>
      <c r="AH773" s="61" t="n"/>
    </row>
    <row r="774" ht="15.75" customHeight="1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  <c r="M774" s="61" t="n"/>
      <c r="N774" s="61" t="n"/>
      <c r="O774" s="61" t="n"/>
      <c r="P774" s="61" t="n"/>
      <c r="Q774" s="61" t="n"/>
      <c r="R774" s="61" t="n"/>
      <c r="S774" s="61" t="n"/>
      <c r="T774" s="61" t="n"/>
      <c r="U774" s="61" t="n"/>
      <c r="V774" s="61" t="n"/>
      <c r="W774" s="61" t="n"/>
      <c r="X774" s="61" t="n"/>
      <c r="Y774" s="61" t="n"/>
      <c r="Z774" s="61" t="n"/>
      <c r="AA774" s="61" t="n"/>
      <c r="AB774" s="61" t="n"/>
      <c r="AC774" s="61" t="n"/>
      <c r="AD774" s="61" t="n"/>
      <c r="AE774" s="61" t="n"/>
      <c r="AF774" s="61" t="n"/>
      <c r="AG774" s="61" t="n"/>
      <c r="AH774" s="61" t="n"/>
    </row>
    <row r="775" ht="15.75" customHeight="1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  <c r="M775" s="61" t="n"/>
      <c r="N775" s="61" t="n"/>
      <c r="O775" s="61" t="n"/>
      <c r="P775" s="61" t="n"/>
      <c r="Q775" s="61" t="n"/>
      <c r="R775" s="61" t="n"/>
      <c r="S775" s="61" t="n"/>
      <c r="T775" s="61" t="n"/>
      <c r="U775" s="61" t="n"/>
      <c r="V775" s="61" t="n"/>
      <c r="W775" s="61" t="n"/>
      <c r="X775" s="61" t="n"/>
      <c r="Y775" s="61" t="n"/>
      <c r="Z775" s="61" t="n"/>
      <c r="AA775" s="61" t="n"/>
      <c r="AB775" s="61" t="n"/>
      <c r="AC775" s="61" t="n"/>
      <c r="AD775" s="61" t="n"/>
      <c r="AE775" s="61" t="n"/>
      <c r="AF775" s="61" t="n"/>
      <c r="AG775" s="61" t="n"/>
      <c r="AH775" s="61" t="n"/>
    </row>
    <row r="776" ht="15.75" customHeight="1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  <c r="M776" s="61" t="n"/>
      <c r="N776" s="61" t="n"/>
      <c r="O776" s="61" t="n"/>
      <c r="P776" s="61" t="n"/>
      <c r="Q776" s="61" t="n"/>
      <c r="R776" s="61" t="n"/>
      <c r="S776" s="61" t="n"/>
      <c r="T776" s="61" t="n"/>
      <c r="U776" s="61" t="n"/>
      <c r="V776" s="61" t="n"/>
      <c r="W776" s="61" t="n"/>
      <c r="X776" s="61" t="n"/>
      <c r="Y776" s="61" t="n"/>
      <c r="Z776" s="61" t="n"/>
      <c r="AA776" s="61" t="n"/>
      <c r="AB776" s="61" t="n"/>
      <c r="AC776" s="61" t="n"/>
      <c r="AD776" s="61" t="n"/>
      <c r="AE776" s="61" t="n"/>
      <c r="AF776" s="61" t="n"/>
      <c r="AG776" s="61" t="n"/>
      <c r="AH776" s="61" t="n"/>
    </row>
    <row r="777" ht="15.75" customHeight="1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  <c r="M777" s="61" t="n"/>
      <c r="N777" s="61" t="n"/>
      <c r="O777" s="61" t="n"/>
      <c r="P777" s="61" t="n"/>
      <c r="Q777" s="61" t="n"/>
      <c r="R777" s="61" t="n"/>
      <c r="S777" s="61" t="n"/>
      <c r="T777" s="61" t="n"/>
      <c r="U777" s="61" t="n"/>
      <c r="V777" s="61" t="n"/>
      <c r="W777" s="61" t="n"/>
      <c r="X777" s="61" t="n"/>
      <c r="Y777" s="61" t="n"/>
      <c r="Z777" s="61" t="n"/>
      <c r="AA777" s="61" t="n"/>
      <c r="AB777" s="61" t="n"/>
      <c r="AC777" s="61" t="n"/>
      <c r="AD777" s="61" t="n"/>
      <c r="AE777" s="61" t="n"/>
      <c r="AF777" s="61" t="n"/>
      <c r="AG777" s="61" t="n"/>
      <c r="AH777" s="61" t="n"/>
    </row>
    <row r="778" ht="15.75" customHeight="1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  <c r="M778" s="61" t="n"/>
      <c r="N778" s="61" t="n"/>
      <c r="O778" s="61" t="n"/>
      <c r="P778" s="61" t="n"/>
      <c r="Q778" s="61" t="n"/>
      <c r="R778" s="61" t="n"/>
      <c r="S778" s="61" t="n"/>
      <c r="T778" s="61" t="n"/>
      <c r="U778" s="61" t="n"/>
      <c r="V778" s="61" t="n"/>
      <c r="W778" s="61" t="n"/>
      <c r="X778" s="61" t="n"/>
      <c r="Y778" s="61" t="n"/>
      <c r="Z778" s="61" t="n"/>
      <c r="AA778" s="61" t="n"/>
      <c r="AB778" s="61" t="n"/>
      <c r="AC778" s="61" t="n"/>
      <c r="AD778" s="61" t="n"/>
      <c r="AE778" s="61" t="n"/>
      <c r="AF778" s="61" t="n"/>
      <c r="AG778" s="61" t="n"/>
      <c r="AH778" s="61" t="n"/>
    </row>
    <row r="779" ht="15.75" customHeight="1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  <c r="M779" s="61" t="n"/>
      <c r="N779" s="61" t="n"/>
      <c r="O779" s="61" t="n"/>
      <c r="P779" s="61" t="n"/>
      <c r="Q779" s="61" t="n"/>
      <c r="R779" s="61" t="n"/>
      <c r="S779" s="61" t="n"/>
      <c r="T779" s="61" t="n"/>
      <c r="U779" s="61" t="n"/>
      <c r="V779" s="61" t="n"/>
      <c r="W779" s="61" t="n"/>
      <c r="X779" s="61" t="n"/>
      <c r="Y779" s="61" t="n"/>
      <c r="Z779" s="61" t="n"/>
      <c r="AA779" s="61" t="n"/>
      <c r="AB779" s="61" t="n"/>
      <c r="AC779" s="61" t="n"/>
      <c r="AD779" s="61" t="n"/>
      <c r="AE779" s="61" t="n"/>
      <c r="AF779" s="61" t="n"/>
      <c r="AG779" s="61" t="n"/>
      <c r="AH779" s="61" t="n"/>
    </row>
    <row r="780" ht="15.75" customHeight="1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  <c r="M780" s="61" t="n"/>
      <c r="N780" s="61" t="n"/>
      <c r="O780" s="61" t="n"/>
      <c r="P780" s="61" t="n"/>
      <c r="Q780" s="61" t="n"/>
      <c r="R780" s="61" t="n"/>
      <c r="S780" s="61" t="n"/>
      <c r="T780" s="61" t="n"/>
      <c r="U780" s="61" t="n"/>
      <c r="V780" s="61" t="n"/>
      <c r="W780" s="61" t="n"/>
      <c r="X780" s="61" t="n"/>
      <c r="Y780" s="61" t="n"/>
      <c r="Z780" s="61" t="n"/>
      <c r="AA780" s="61" t="n"/>
      <c r="AB780" s="61" t="n"/>
      <c r="AC780" s="61" t="n"/>
      <c r="AD780" s="61" t="n"/>
      <c r="AE780" s="61" t="n"/>
      <c r="AF780" s="61" t="n"/>
      <c r="AG780" s="61" t="n"/>
      <c r="AH780" s="61" t="n"/>
    </row>
    <row r="781" ht="15.75" customHeight="1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  <c r="M781" s="61" t="n"/>
      <c r="N781" s="61" t="n"/>
      <c r="O781" s="61" t="n"/>
      <c r="P781" s="61" t="n"/>
      <c r="Q781" s="61" t="n"/>
      <c r="R781" s="61" t="n"/>
      <c r="S781" s="61" t="n"/>
      <c r="T781" s="61" t="n"/>
      <c r="U781" s="61" t="n"/>
      <c r="V781" s="61" t="n"/>
      <c r="W781" s="61" t="n"/>
      <c r="X781" s="61" t="n"/>
      <c r="Y781" s="61" t="n"/>
      <c r="Z781" s="61" t="n"/>
      <c r="AA781" s="61" t="n"/>
      <c r="AB781" s="61" t="n"/>
      <c r="AC781" s="61" t="n"/>
      <c r="AD781" s="61" t="n"/>
      <c r="AE781" s="61" t="n"/>
      <c r="AF781" s="61" t="n"/>
      <c r="AG781" s="61" t="n"/>
      <c r="AH781" s="61" t="n"/>
    </row>
    <row r="782" ht="15.75" customHeight="1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  <c r="M782" s="61" t="n"/>
      <c r="N782" s="61" t="n"/>
      <c r="O782" s="61" t="n"/>
      <c r="P782" s="61" t="n"/>
      <c r="Q782" s="61" t="n"/>
      <c r="R782" s="61" t="n"/>
      <c r="S782" s="61" t="n"/>
      <c r="T782" s="61" t="n"/>
      <c r="U782" s="61" t="n"/>
      <c r="V782" s="61" t="n"/>
      <c r="W782" s="61" t="n"/>
      <c r="X782" s="61" t="n"/>
      <c r="Y782" s="61" t="n"/>
      <c r="Z782" s="61" t="n"/>
      <c r="AA782" s="61" t="n"/>
      <c r="AB782" s="61" t="n"/>
      <c r="AC782" s="61" t="n"/>
      <c r="AD782" s="61" t="n"/>
      <c r="AE782" s="61" t="n"/>
      <c r="AF782" s="61" t="n"/>
      <c r="AG782" s="61" t="n"/>
      <c r="AH782" s="61" t="n"/>
    </row>
    <row r="783" ht="15.75" customHeight="1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  <c r="M783" s="61" t="n"/>
      <c r="N783" s="61" t="n"/>
      <c r="O783" s="61" t="n"/>
      <c r="P783" s="61" t="n"/>
      <c r="Q783" s="61" t="n"/>
      <c r="R783" s="61" t="n"/>
      <c r="S783" s="61" t="n"/>
      <c r="T783" s="61" t="n"/>
      <c r="U783" s="61" t="n"/>
      <c r="V783" s="61" t="n"/>
      <c r="W783" s="61" t="n"/>
      <c r="X783" s="61" t="n"/>
      <c r="Y783" s="61" t="n"/>
      <c r="Z783" s="61" t="n"/>
      <c r="AA783" s="61" t="n"/>
      <c r="AB783" s="61" t="n"/>
      <c r="AC783" s="61" t="n"/>
      <c r="AD783" s="61" t="n"/>
      <c r="AE783" s="61" t="n"/>
      <c r="AF783" s="61" t="n"/>
      <c r="AG783" s="61" t="n"/>
      <c r="AH783" s="61" t="n"/>
    </row>
    <row r="784" ht="15.75" customHeight="1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  <c r="M784" s="61" t="n"/>
      <c r="N784" s="61" t="n"/>
      <c r="O784" s="61" t="n"/>
      <c r="P784" s="61" t="n"/>
      <c r="Q784" s="61" t="n"/>
      <c r="R784" s="61" t="n"/>
      <c r="S784" s="61" t="n"/>
      <c r="T784" s="61" t="n"/>
      <c r="U784" s="61" t="n"/>
      <c r="V784" s="61" t="n"/>
      <c r="W784" s="61" t="n"/>
      <c r="X784" s="61" t="n"/>
      <c r="Y784" s="61" t="n"/>
      <c r="Z784" s="61" t="n"/>
      <c r="AA784" s="61" t="n"/>
      <c r="AB784" s="61" t="n"/>
      <c r="AC784" s="61" t="n"/>
      <c r="AD784" s="61" t="n"/>
      <c r="AE784" s="61" t="n"/>
      <c r="AF784" s="61" t="n"/>
      <c r="AG784" s="61" t="n"/>
      <c r="AH784" s="61" t="n"/>
    </row>
    <row r="785" ht="15.75" customHeight="1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  <c r="M785" s="61" t="n"/>
      <c r="N785" s="61" t="n"/>
      <c r="O785" s="61" t="n"/>
      <c r="P785" s="61" t="n"/>
      <c r="Q785" s="61" t="n"/>
      <c r="R785" s="61" t="n"/>
      <c r="S785" s="61" t="n"/>
      <c r="T785" s="61" t="n"/>
      <c r="U785" s="61" t="n"/>
      <c r="V785" s="61" t="n"/>
      <c r="W785" s="61" t="n"/>
      <c r="X785" s="61" t="n"/>
      <c r="Y785" s="61" t="n"/>
      <c r="Z785" s="61" t="n"/>
      <c r="AA785" s="61" t="n"/>
      <c r="AB785" s="61" t="n"/>
      <c r="AC785" s="61" t="n"/>
      <c r="AD785" s="61" t="n"/>
      <c r="AE785" s="61" t="n"/>
      <c r="AF785" s="61" t="n"/>
      <c r="AG785" s="61" t="n"/>
      <c r="AH785" s="61" t="n"/>
    </row>
    <row r="786" ht="15.75" customHeight="1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  <c r="M786" s="61" t="n"/>
      <c r="N786" s="61" t="n"/>
      <c r="O786" s="61" t="n"/>
      <c r="P786" s="61" t="n"/>
      <c r="Q786" s="61" t="n"/>
      <c r="R786" s="61" t="n"/>
      <c r="S786" s="61" t="n"/>
      <c r="T786" s="61" t="n"/>
      <c r="U786" s="61" t="n"/>
      <c r="V786" s="61" t="n"/>
      <c r="W786" s="61" t="n"/>
      <c r="X786" s="61" t="n"/>
      <c r="Y786" s="61" t="n"/>
      <c r="Z786" s="61" t="n"/>
      <c r="AA786" s="61" t="n"/>
      <c r="AB786" s="61" t="n"/>
      <c r="AC786" s="61" t="n"/>
      <c r="AD786" s="61" t="n"/>
      <c r="AE786" s="61" t="n"/>
      <c r="AF786" s="61" t="n"/>
      <c r="AG786" s="61" t="n"/>
      <c r="AH786" s="61" t="n"/>
    </row>
    <row r="787" ht="15.75" customHeight="1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  <c r="M787" s="61" t="n"/>
      <c r="N787" s="61" t="n"/>
      <c r="O787" s="61" t="n"/>
      <c r="P787" s="61" t="n"/>
      <c r="Q787" s="61" t="n"/>
      <c r="R787" s="61" t="n"/>
      <c r="S787" s="61" t="n"/>
      <c r="T787" s="61" t="n"/>
      <c r="U787" s="61" t="n"/>
      <c r="V787" s="61" t="n"/>
      <c r="W787" s="61" t="n"/>
      <c r="X787" s="61" t="n"/>
      <c r="Y787" s="61" t="n"/>
      <c r="Z787" s="61" t="n"/>
      <c r="AA787" s="61" t="n"/>
      <c r="AB787" s="61" t="n"/>
      <c r="AC787" s="61" t="n"/>
      <c r="AD787" s="61" t="n"/>
      <c r="AE787" s="61" t="n"/>
      <c r="AF787" s="61" t="n"/>
      <c r="AG787" s="61" t="n"/>
      <c r="AH787" s="61" t="n"/>
    </row>
    <row r="788" ht="15.75" customHeight="1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  <c r="M788" s="61" t="n"/>
      <c r="N788" s="61" t="n"/>
      <c r="O788" s="61" t="n"/>
      <c r="P788" s="61" t="n"/>
      <c r="Q788" s="61" t="n"/>
      <c r="R788" s="61" t="n"/>
      <c r="S788" s="61" t="n"/>
      <c r="T788" s="61" t="n"/>
      <c r="U788" s="61" t="n"/>
      <c r="V788" s="61" t="n"/>
      <c r="W788" s="61" t="n"/>
      <c r="X788" s="61" t="n"/>
      <c r="Y788" s="61" t="n"/>
      <c r="Z788" s="61" t="n"/>
      <c r="AA788" s="61" t="n"/>
      <c r="AB788" s="61" t="n"/>
      <c r="AC788" s="61" t="n"/>
      <c r="AD788" s="61" t="n"/>
      <c r="AE788" s="61" t="n"/>
      <c r="AF788" s="61" t="n"/>
      <c r="AG788" s="61" t="n"/>
      <c r="AH788" s="61" t="n"/>
    </row>
    <row r="789" ht="15.75" customHeight="1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  <c r="M789" s="61" t="n"/>
      <c r="N789" s="61" t="n"/>
      <c r="O789" s="61" t="n"/>
      <c r="P789" s="61" t="n"/>
      <c r="Q789" s="61" t="n"/>
      <c r="R789" s="61" t="n"/>
      <c r="S789" s="61" t="n"/>
      <c r="T789" s="61" t="n"/>
      <c r="U789" s="61" t="n"/>
      <c r="V789" s="61" t="n"/>
      <c r="W789" s="61" t="n"/>
      <c r="X789" s="61" t="n"/>
      <c r="Y789" s="61" t="n"/>
      <c r="Z789" s="61" t="n"/>
      <c r="AA789" s="61" t="n"/>
      <c r="AB789" s="61" t="n"/>
      <c r="AC789" s="61" t="n"/>
      <c r="AD789" s="61" t="n"/>
      <c r="AE789" s="61" t="n"/>
      <c r="AF789" s="61" t="n"/>
      <c r="AG789" s="61" t="n"/>
      <c r="AH789" s="61" t="n"/>
    </row>
    <row r="790" ht="15.75" customHeight="1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  <c r="M790" s="61" t="n"/>
      <c r="N790" s="61" t="n"/>
      <c r="O790" s="61" t="n"/>
      <c r="P790" s="61" t="n"/>
      <c r="Q790" s="61" t="n"/>
      <c r="R790" s="61" t="n"/>
      <c r="S790" s="61" t="n"/>
      <c r="T790" s="61" t="n"/>
      <c r="U790" s="61" t="n"/>
      <c r="V790" s="61" t="n"/>
      <c r="W790" s="61" t="n"/>
      <c r="X790" s="61" t="n"/>
      <c r="Y790" s="61" t="n"/>
      <c r="Z790" s="61" t="n"/>
      <c r="AA790" s="61" t="n"/>
      <c r="AB790" s="61" t="n"/>
      <c r="AC790" s="61" t="n"/>
      <c r="AD790" s="61" t="n"/>
      <c r="AE790" s="61" t="n"/>
      <c r="AF790" s="61" t="n"/>
      <c r="AG790" s="61" t="n"/>
      <c r="AH790" s="61" t="n"/>
    </row>
    <row r="791" ht="15.75" customHeight="1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  <c r="M791" s="61" t="n"/>
      <c r="N791" s="61" t="n"/>
      <c r="O791" s="61" t="n"/>
      <c r="P791" s="61" t="n"/>
      <c r="Q791" s="61" t="n"/>
      <c r="R791" s="61" t="n"/>
      <c r="S791" s="61" t="n"/>
      <c r="T791" s="61" t="n"/>
      <c r="U791" s="61" t="n"/>
      <c r="V791" s="61" t="n"/>
      <c r="W791" s="61" t="n"/>
      <c r="X791" s="61" t="n"/>
      <c r="Y791" s="61" t="n"/>
      <c r="Z791" s="61" t="n"/>
      <c r="AA791" s="61" t="n"/>
      <c r="AB791" s="61" t="n"/>
      <c r="AC791" s="61" t="n"/>
      <c r="AD791" s="61" t="n"/>
      <c r="AE791" s="61" t="n"/>
      <c r="AF791" s="61" t="n"/>
      <c r="AG791" s="61" t="n"/>
      <c r="AH791" s="61" t="n"/>
    </row>
    <row r="792" ht="15.75" customHeight="1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  <c r="M792" s="61" t="n"/>
      <c r="N792" s="61" t="n"/>
      <c r="O792" s="61" t="n"/>
      <c r="P792" s="61" t="n"/>
      <c r="Q792" s="61" t="n"/>
      <c r="R792" s="61" t="n"/>
      <c r="S792" s="61" t="n"/>
      <c r="T792" s="61" t="n"/>
      <c r="U792" s="61" t="n"/>
      <c r="V792" s="61" t="n"/>
      <c r="W792" s="61" t="n"/>
      <c r="X792" s="61" t="n"/>
      <c r="Y792" s="61" t="n"/>
      <c r="Z792" s="61" t="n"/>
      <c r="AA792" s="61" t="n"/>
      <c r="AB792" s="61" t="n"/>
      <c r="AC792" s="61" t="n"/>
      <c r="AD792" s="61" t="n"/>
      <c r="AE792" s="61" t="n"/>
      <c r="AF792" s="61" t="n"/>
      <c r="AG792" s="61" t="n"/>
      <c r="AH792" s="61" t="n"/>
    </row>
    <row r="793" ht="15.75" customHeight="1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  <c r="M793" s="61" t="n"/>
      <c r="N793" s="61" t="n"/>
      <c r="O793" s="61" t="n"/>
      <c r="P793" s="61" t="n"/>
      <c r="Q793" s="61" t="n"/>
      <c r="R793" s="61" t="n"/>
      <c r="S793" s="61" t="n"/>
      <c r="T793" s="61" t="n"/>
      <c r="U793" s="61" t="n"/>
      <c r="V793" s="61" t="n"/>
      <c r="W793" s="61" t="n"/>
      <c r="X793" s="61" t="n"/>
      <c r="Y793" s="61" t="n"/>
      <c r="Z793" s="61" t="n"/>
      <c r="AA793" s="61" t="n"/>
      <c r="AB793" s="61" t="n"/>
      <c r="AC793" s="61" t="n"/>
      <c r="AD793" s="61" t="n"/>
      <c r="AE793" s="61" t="n"/>
      <c r="AF793" s="61" t="n"/>
      <c r="AG793" s="61" t="n"/>
      <c r="AH793" s="61" t="n"/>
    </row>
    <row r="794" ht="15.75" customHeight="1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  <c r="M794" s="61" t="n"/>
      <c r="N794" s="61" t="n"/>
      <c r="O794" s="61" t="n"/>
      <c r="P794" s="61" t="n"/>
      <c r="Q794" s="61" t="n"/>
      <c r="R794" s="61" t="n"/>
      <c r="S794" s="61" t="n"/>
      <c r="T794" s="61" t="n"/>
      <c r="U794" s="61" t="n"/>
      <c r="V794" s="61" t="n"/>
      <c r="W794" s="61" t="n"/>
      <c r="X794" s="61" t="n"/>
      <c r="Y794" s="61" t="n"/>
      <c r="Z794" s="61" t="n"/>
      <c r="AA794" s="61" t="n"/>
      <c r="AB794" s="61" t="n"/>
      <c r="AC794" s="61" t="n"/>
      <c r="AD794" s="61" t="n"/>
      <c r="AE794" s="61" t="n"/>
      <c r="AF794" s="61" t="n"/>
      <c r="AG794" s="61" t="n"/>
      <c r="AH794" s="61" t="n"/>
    </row>
    <row r="795" ht="15.75" customHeight="1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  <c r="M795" s="61" t="n"/>
      <c r="N795" s="61" t="n"/>
      <c r="O795" s="61" t="n"/>
      <c r="P795" s="61" t="n"/>
      <c r="Q795" s="61" t="n"/>
      <c r="R795" s="61" t="n"/>
      <c r="S795" s="61" t="n"/>
      <c r="T795" s="61" t="n"/>
      <c r="U795" s="61" t="n"/>
      <c r="V795" s="61" t="n"/>
      <c r="W795" s="61" t="n"/>
      <c r="X795" s="61" t="n"/>
      <c r="Y795" s="61" t="n"/>
      <c r="Z795" s="61" t="n"/>
      <c r="AA795" s="61" t="n"/>
      <c r="AB795" s="61" t="n"/>
      <c r="AC795" s="61" t="n"/>
      <c r="AD795" s="61" t="n"/>
      <c r="AE795" s="61" t="n"/>
      <c r="AF795" s="61" t="n"/>
      <c r="AG795" s="61" t="n"/>
      <c r="AH795" s="61" t="n"/>
    </row>
    <row r="796" ht="15.75" customHeight="1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  <c r="M796" s="61" t="n"/>
      <c r="N796" s="61" t="n"/>
      <c r="O796" s="61" t="n"/>
      <c r="P796" s="61" t="n"/>
      <c r="Q796" s="61" t="n"/>
      <c r="R796" s="61" t="n"/>
      <c r="S796" s="61" t="n"/>
      <c r="T796" s="61" t="n"/>
      <c r="U796" s="61" t="n"/>
      <c r="V796" s="61" t="n"/>
      <c r="W796" s="61" t="n"/>
      <c r="X796" s="61" t="n"/>
      <c r="Y796" s="61" t="n"/>
      <c r="Z796" s="61" t="n"/>
      <c r="AA796" s="61" t="n"/>
      <c r="AB796" s="61" t="n"/>
      <c r="AC796" s="61" t="n"/>
      <c r="AD796" s="61" t="n"/>
      <c r="AE796" s="61" t="n"/>
      <c r="AF796" s="61" t="n"/>
      <c r="AG796" s="61" t="n"/>
      <c r="AH796" s="61" t="n"/>
    </row>
    <row r="797" ht="15.75" customHeight="1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  <c r="M797" s="61" t="n"/>
      <c r="N797" s="61" t="n"/>
      <c r="O797" s="61" t="n"/>
      <c r="P797" s="61" t="n"/>
      <c r="Q797" s="61" t="n"/>
      <c r="R797" s="61" t="n"/>
      <c r="S797" s="61" t="n"/>
      <c r="T797" s="61" t="n"/>
      <c r="U797" s="61" t="n"/>
      <c r="V797" s="61" t="n"/>
      <c r="W797" s="61" t="n"/>
      <c r="X797" s="61" t="n"/>
      <c r="Y797" s="61" t="n"/>
      <c r="Z797" s="61" t="n"/>
      <c r="AA797" s="61" t="n"/>
      <c r="AB797" s="61" t="n"/>
      <c r="AC797" s="61" t="n"/>
      <c r="AD797" s="61" t="n"/>
      <c r="AE797" s="61" t="n"/>
      <c r="AF797" s="61" t="n"/>
      <c r="AG797" s="61" t="n"/>
      <c r="AH797" s="61" t="n"/>
    </row>
    <row r="798" ht="15.75" customHeight="1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  <c r="M798" s="61" t="n"/>
      <c r="N798" s="61" t="n"/>
      <c r="O798" s="61" t="n"/>
      <c r="P798" s="61" t="n"/>
      <c r="Q798" s="61" t="n"/>
      <c r="R798" s="61" t="n"/>
      <c r="S798" s="61" t="n"/>
      <c r="T798" s="61" t="n"/>
      <c r="U798" s="61" t="n"/>
      <c r="V798" s="61" t="n"/>
      <c r="W798" s="61" t="n"/>
      <c r="X798" s="61" t="n"/>
      <c r="Y798" s="61" t="n"/>
      <c r="Z798" s="61" t="n"/>
      <c r="AA798" s="61" t="n"/>
      <c r="AB798" s="61" t="n"/>
      <c r="AC798" s="61" t="n"/>
      <c r="AD798" s="61" t="n"/>
      <c r="AE798" s="61" t="n"/>
      <c r="AF798" s="61" t="n"/>
      <c r="AG798" s="61" t="n"/>
      <c r="AH798" s="61" t="n"/>
    </row>
    <row r="799" ht="15.75" customHeight="1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  <c r="M799" s="61" t="n"/>
      <c r="N799" s="61" t="n"/>
      <c r="O799" s="61" t="n"/>
      <c r="P799" s="61" t="n"/>
      <c r="Q799" s="61" t="n"/>
      <c r="R799" s="61" t="n"/>
      <c r="S799" s="61" t="n"/>
      <c r="T799" s="61" t="n"/>
      <c r="U799" s="61" t="n"/>
      <c r="V799" s="61" t="n"/>
      <c r="W799" s="61" t="n"/>
      <c r="X799" s="61" t="n"/>
      <c r="Y799" s="61" t="n"/>
      <c r="Z799" s="61" t="n"/>
      <c r="AA799" s="61" t="n"/>
      <c r="AB799" s="61" t="n"/>
      <c r="AC799" s="61" t="n"/>
      <c r="AD799" s="61" t="n"/>
      <c r="AE799" s="61" t="n"/>
      <c r="AF799" s="61" t="n"/>
      <c r="AG799" s="61" t="n"/>
      <c r="AH799" s="61" t="n"/>
    </row>
    <row r="800" ht="15.75" customHeight="1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  <c r="M800" s="61" t="n"/>
      <c r="N800" s="61" t="n"/>
      <c r="O800" s="61" t="n"/>
      <c r="P800" s="61" t="n"/>
      <c r="Q800" s="61" t="n"/>
      <c r="R800" s="61" t="n"/>
      <c r="S800" s="61" t="n"/>
      <c r="T800" s="61" t="n"/>
      <c r="U800" s="61" t="n"/>
      <c r="V800" s="61" t="n"/>
      <c r="W800" s="61" t="n"/>
      <c r="X800" s="61" t="n"/>
      <c r="Y800" s="61" t="n"/>
      <c r="Z800" s="61" t="n"/>
      <c r="AA800" s="61" t="n"/>
      <c r="AB800" s="61" t="n"/>
      <c r="AC800" s="61" t="n"/>
      <c r="AD800" s="61" t="n"/>
      <c r="AE800" s="61" t="n"/>
      <c r="AF800" s="61" t="n"/>
      <c r="AG800" s="61" t="n"/>
      <c r="AH800" s="61" t="n"/>
    </row>
    <row r="801" ht="15.75" customHeight="1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  <c r="M801" s="61" t="n"/>
      <c r="N801" s="61" t="n"/>
      <c r="O801" s="61" t="n"/>
      <c r="P801" s="61" t="n"/>
      <c r="Q801" s="61" t="n"/>
      <c r="R801" s="61" t="n"/>
      <c r="S801" s="61" t="n"/>
      <c r="T801" s="61" t="n"/>
      <c r="U801" s="61" t="n"/>
      <c r="V801" s="61" t="n"/>
      <c r="W801" s="61" t="n"/>
      <c r="X801" s="61" t="n"/>
      <c r="Y801" s="61" t="n"/>
      <c r="Z801" s="61" t="n"/>
      <c r="AA801" s="61" t="n"/>
      <c r="AB801" s="61" t="n"/>
      <c r="AC801" s="61" t="n"/>
      <c r="AD801" s="61" t="n"/>
      <c r="AE801" s="61" t="n"/>
      <c r="AF801" s="61" t="n"/>
      <c r="AG801" s="61" t="n"/>
      <c r="AH801" s="61" t="n"/>
    </row>
    <row r="802" ht="15.75" customHeight="1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  <c r="M802" s="61" t="n"/>
      <c r="N802" s="61" t="n"/>
      <c r="O802" s="61" t="n"/>
      <c r="P802" s="61" t="n"/>
      <c r="Q802" s="61" t="n"/>
      <c r="R802" s="61" t="n"/>
      <c r="S802" s="61" t="n"/>
      <c r="T802" s="61" t="n"/>
      <c r="U802" s="61" t="n"/>
      <c r="V802" s="61" t="n"/>
      <c r="W802" s="61" t="n"/>
      <c r="X802" s="61" t="n"/>
      <c r="Y802" s="61" t="n"/>
      <c r="Z802" s="61" t="n"/>
      <c r="AA802" s="61" t="n"/>
      <c r="AB802" s="61" t="n"/>
      <c r="AC802" s="61" t="n"/>
      <c r="AD802" s="61" t="n"/>
      <c r="AE802" s="61" t="n"/>
      <c r="AF802" s="61" t="n"/>
      <c r="AG802" s="61" t="n"/>
      <c r="AH802" s="61" t="n"/>
    </row>
    <row r="803" ht="15.75" customHeight="1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  <c r="M803" s="61" t="n"/>
      <c r="N803" s="61" t="n"/>
      <c r="O803" s="61" t="n"/>
      <c r="P803" s="61" t="n"/>
      <c r="Q803" s="61" t="n"/>
      <c r="R803" s="61" t="n"/>
      <c r="S803" s="61" t="n"/>
      <c r="T803" s="61" t="n"/>
      <c r="U803" s="61" t="n"/>
      <c r="V803" s="61" t="n"/>
      <c r="W803" s="61" t="n"/>
      <c r="X803" s="61" t="n"/>
      <c r="Y803" s="61" t="n"/>
      <c r="Z803" s="61" t="n"/>
      <c r="AA803" s="61" t="n"/>
      <c r="AB803" s="61" t="n"/>
      <c r="AC803" s="61" t="n"/>
      <c r="AD803" s="61" t="n"/>
      <c r="AE803" s="61" t="n"/>
      <c r="AF803" s="61" t="n"/>
      <c r="AG803" s="61" t="n"/>
      <c r="AH803" s="61" t="n"/>
    </row>
    <row r="804" ht="15.75" customHeight="1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  <c r="M804" s="61" t="n"/>
      <c r="N804" s="61" t="n"/>
      <c r="O804" s="61" t="n"/>
      <c r="P804" s="61" t="n"/>
      <c r="Q804" s="61" t="n"/>
      <c r="R804" s="61" t="n"/>
      <c r="S804" s="61" t="n"/>
      <c r="T804" s="61" t="n"/>
      <c r="U804" s="61" t="n"/>
      <c r="V804" s="61" t="n"/>
      <c r="W804" s="61" t="n"/>
      <c r="X804" s="61" t="n"/>
      <c r="Y804" s="61" t="n"/>
      <c r="Z804" s="61" t="n"/>
      <c r="AA804" s="61" t="n"/>
      <c r="AB804" s="61" t="n"/>
      <c r="AC804" s="61" t="n"/>
      <c r="AD804" s="61" t="n"/>
      <c r="AE804" s="61" t="n"/>
      <c r="AF804" s="61" t="n"/>
      <c r="AG804" s="61" t="n"/>
      <c r="AH804" s="61" t="n"/>
    </row>
    <row r="805" ht="15.75" customHeight="1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  <c r="M805" s="61" t="n"/>
      <c r="N805" s="61" t="n"/>
      <c r="O805" s="61" t="n"/>
      <c r="P805" s="61" t="n"/>
      <c r="Q805" s="61" t="n"/>
      <c r="R805" s="61" t="n"/>
      <c r="S805" s="61" t="n"/>
      <c r="T805" s="61" t="n"/>
      <c r="U805" s="61" t="n"/>
      <c r="V805" s="61" t="n"/>
      <c r="W805" s="61" t="n"/>
      <c r="X805" s="61" t="n"/>
      <c r="Y805" s="61" t="n"/>
      <c r="Z805" s="61" t="n"/>
      <c r="AA805" s="61" t="n"/>
      <c r="AB805" s="61" t="n"/>
      <c r="AC805" s="61" t="n"/>
      <c r="AD805" s="61" t="n"/>
      <c r="AE805" s="61" t="n"/>
      <c r="AF805" s="61" t="n"/>
      <c r="AG805" s="61" t="n"/>
      <c r="AH805" s="61" t="n"/>
    </row>
    <row r="806" ht="15.75" customHeight="1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  <c r="M806" s="61" t="n"/>
      <c r="N806" s="61" t="n"/>
      <c r="O806" s="61" t="n"/>
      <c r="P806" s="61" t="n"/>
      <c r="Q806" s="61" t="n"/>
      <c r="R806" s="61" t="n"/>
      <c r="S806" s="61" t="n"/>
      <c r="T806" s="61" t="n"/>
      <c r="U806" s="61" t="n"/>
      <c r="V806" s="61" t="n"/>
      <c r="W806" s="61" t="n"/>
      <c r="X806" s="61" t="n"/>
      <c r="Y806" s="61" t="n"/>
      <c r="Z806" s="61" t="n"/>
      <c r="AA806" s="61" t="n"/>
      <c r="AB806" s="61" t="n"/>
      <c r="AC806" s="61" t="n"/>
      <c r="AD806" s="61" t="n"/>
      <c r="AE806" s="61" t="n"/>
      <c r="AF806" s="61" t="n"/>
      <c r="AG806" s="61" t="n"/>
      <c r="AH806" s="61" t="n"/>
    </row>
    <row r="807" ht="15.75" customHeight="1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  <c r="M807" s="61" t="n"/>
      <c r="N807" s="61" t="n"/>
      <c r="O807" s="61" t="n"/>
      <c r="P807" s="61" t="n"/>
      <c r="Q807" s="61" t="n"/>
      <c r="R807" s="61" t="n"/>
      <c r="S807" s="61" t="n"/>
      <c r="T807" s="61" t="n"/>
      <c r="U807" s="61" t="n"/>
      <c r="V807" s="61" t="n"/>
      <c r="W807" s="61" t="n"/>
      <c r="X807" s="61" t="n"/>
      <c r="Y807" s="61" t="n"/>
      <c r="Z807" s="61" t="n"/>
      <c r="AA807" s="61" t="n"/>
      <c r="AB807" s="61" t="n"/>
      <c r="AC807" s="61" t="n"/>
      <c r="AD807" s="61" t="n"/>
      <c r="AE807" s="61" t="n"/>
      <c r="AF807" s="61" t="n"/>
      <c r="AG807" s="61" t="n"/>
      <c r="AH807" s="61" t="n"/>
    </row>
    <row r="808" ht="15.75" customHeight="1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  <c r="M808" s="61" t="n"/>
      <c r="N808" s="61" t="n"/>
      <c r="O808" s="61" t="n"/>
      <c r="P808" s="61" t="n"/>
      <c r="Q808" s="61" t="n"/>
      <c r="R808" s="61" t="n"/>
      <c r="S808" s="61" t="n"/>
      <c r="T808" s="61" t="n"/>
      <c r="U808" s="61" t="n"/>
      <c r="V808" s="61" t="n"/>
      <c r="W808" s="61" t="n"/>
      <c r="X808" s="61" t="n"/>
      <c r="Y808" s="61" t="n"/>
      <c r="Z808" s="61" t="n"/>
      <c r="AA808" s="61" t="n"/>
      <c r="AB808" s="61" t="n"/>
      <c r="AC808" s="61" t="n"/>
      <c r="AD808" s="61" t="n"/>
      <c r="AE808" s="61" t="n"/>
      <c r="AF808" s="61" t="n"/>
      <c r="AG808" s="61" t="n"/>
      <c r="AH808" s="61" t="n"/>
    </row>
    <row r="809" ht="15.75" customHeight="1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  <c r="M809" s="61" t="n"/>
      <c r="N809" s="61" t="n"/>
      <c r="O809" s="61" t="n"/>
      <c r="P809" s="61" t="n"/>
      <c r="Q809" s="61" t="n"/>
      <c r="R809" s="61" t="n"/>
      <c r="S809" s="61" t="n"/>
      <c r="T809" s="61" t="n"/>
      <c r="U809" s="61" t="n"/>
      <c r="V809" s="61" t="n"/>
      <c r="W809" s="61" t="n"/>
      <c r="X809" s="61" t="n"/>
      <c r="Y809" s="61" t="n"/>
      <c r="Z809" s="61" t="n"/>
      <c r="AA809" s="61" t="n"/>
      <c r="AB809" s="61" t="n"/>
      <c r="AC809" s="61" t="n"/>
      <c r="AD809" s="61" t="n"/>
      <c r="AE809" s="61" t="n"/>
      <c r="AF809" s="61" t="n"/>
      <c r="AG809" s="61" t="n"/>
      <c r="AH809" s="61" t="n"/>
    </row>
    <row r="810" ht="15.75" customHeight="1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  <c r="M810" s="61" t="n"/>
      <c r="N810" s="61" t="n"/>
      <c r="O810" s="61" t="n"/>
      <c r="P810" s="61" t="n"/>
      <c r="Q810" s="61" t="n"/>
      <c r="R810" s="61" t="n"/>
      <c r="S810" s="61" t="n"/>
      <c r="T810" s="61" t="n"/>
      <c r="U810" s="61" t="n"/>
      <c r="V810" s="61" t="n"/>
      <c r="W810" s="61" t="n"/>
      <c r="X810" s="61" t="n"/>
      <c r="Y810" s="61" t="n"/>
      <c r="Z810" s="61" t="n"/>
      <c r="AA810" s="61" t="n"/>
      <c r="AB810" s="61" t="n"/>
      <c r="AC810" s="61" t="n"/>
      <c r="AD810" s="61" t="n"/>
      <c r="AE810" s="61" t="n"/>
      <c r="AF810" s="61" t="n"/>
      <c r="AG810" s="61" t="n"/>
      <c r="AH810" s="61" t="n"/>
    </row>
    <row r="811" ht="15.75" customHeight="1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  <c r="M811" s="61" t="n"/>
      <c r="N811" s="61" t="n"/>
      <c r="O811" s="61" t="n"/>
      <c r="P811" s="61" t="n"/>
      <c r="Q811" s="61" t="n"/>
      <c r="R811" s="61" t="n"/>
      <c r="S811" s="61" t="n"/>
      <c r="T811" s="61" t="n"/>
      <c r="U811" s="61" t="n"/>
      <c r="V811" s="61" t="n"/>
      <c r="W811" s="61" t="n"/>
      <c r="X811" s="61" t="n"/>
      <c r="Y811" s="61" t="n"/>
      <c r="Z811" s="61" t="n"/>
      <c r="AA811" s="61" t="n"/>
      <c r="AB811" s="61" t="n"/>
      <c r="AC811" s="61" t="n"/>
      <c r="AD811" s="61" t="n"/>
      <c r="AE811" s="61" t="n"/>
      <c r="AF811" s="61" t="n"/>
      <c r="AG811" s="61" t="n"/>
      <c r="AH811" s="61" t="n"/>
    </row>
    <row r="812" ht="15.75" customHeight="1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  <c r="M812" s="61" t="n"/>
      <c r="N812" s="61" t="n"/>
      <c r="O812" s="61" t="n"/>
      <c r="P812" s="61" t="n"/>
      <c r="Q812" s="61" t="n"/>
      <c r="R812" s="61" t="n"/>
      <c r="S812" s="61" t="n"/>
      <c r="T812" s="61" t="n"/>
      <c r="U812" s="61" t="n"/>
      <c r="V812" s="61" t="n"/>
      <c r="W812" s="61" t="n"/>
      <c r="X812" s="61" t="n"/>
      <c r="Y812" s="61" t="n"/>
      <c r="Z812" s="61" t="n"/>
      <c r="AA812" s="61" t="n"/>
      <c r="AB812" s="61" t="n"/>
      <c r="AC812" s="61" t="n"/>
      <c r="AD812" s="61" t="n"/>
      <c r="AE812" s="61" t="n"/>
      <c r="AF812" s="61" t="n"/>
      <c r="AG812" s="61" t="n"/>
      <c r="AH812" s="61" t="n"/>
    </row>
    <row r="813" ht="15.75" customHeight="1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  <c r="M813" s="61" t="n"/>
      <c r="N813" s="61" t="n"/>
      <c r="O813" s="61" t="n"/>
      <c r="P813" s="61" t="n"/>
      <c r="Q813" s="61" t="n"/>
      <c r="R813" s="61" t="n"/>
      <c r="S813" s="61" t="n"/>
      <c r="T813" s="61" t="n"/>
      <c r="U813" s="61" t="n"/>
      <c r="V813" s="61" t="n"/>
      <c r="W813" s="61" t="n"/>
      <c r="X813" s="61" t="n"/>
      <c r="Y813" s="61" t="n"/>
      <c r="Z813" s="61" t="n"/>
      <c r="AA813" s="61" t="n"/>
      <c r="AB813" s="61" t="n"/>
      <c r="AC813" s="61" t="n"/>
      <c r="AD813" s="61" t="n"/>
      <c r="AE813" s="61" t="n"/>
      <c r="AF813" s="61" t="n"/>
      <c r="AG813" s="61" t="n"/>
      <c r="AH813" s="61" t="n"/>
    </row>
    <row r="814" ht="15.75" customHeight="1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  <c r="M814" s="61" t="n"/>
      <c r="N814" s="61" t="n"/>
      <c r="O814" s="61" t="n"/>
      <c r="P814" s="61" t="n"/>
      <c r="Q814" s="61" t="n"/>
      <c r="R814" s="61" t="n"/>
      <c r="S814" s="61" t="n"/>
      <c r="T814" s="61" t="n"/>
      <c r="U814" s="61" t="n"/>
      <c r="V814" s="61" t="n"/>
      <c r="W814" s="61" t="n"/>
      <c r="X814" s="61" t="n"/>
      <c r="Y814" s="61" t="n"/>
      <c r="Z814" s="61" t="n"/>
      <c r="AA814" s="61" t="n"/>
      <c r="AB814" s="61" t="n"/>
      <c r="AC814" s="61" t="n"/>
      <c r="AD814" s="61" t="n"/>
      <c r="AE814" s="61" t="n"/>
      <c r="AF814" s="61" t="n"/>
      <c r="AG814" s="61" t="n"/>
      <c r="AH814" s="61" t="n"/>
    </row>
    <row r="815" ht="15.75" customHeight="1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  <c r="M815" s="61" t="n"/>
      <c r="N815" s="61" t="n"/>
      <c r="O815" s="61" t="n"/>
      <c r="P815" s="61" t="n"/>
      <c r="Q815" s="61" t="n"/>
      <c r="R815" s="61" t="n"/>
      <c r="S815" s="61" t="n"/>
      <c r="T815" s="61" t="n"/>
      <c r="U815" s="61" t="n"/>
      <c r="V815" s="61" t="n"/>
      <c r="W815" s="61" t="n"/>
      <c r="X815" s="61" t="n"/>
      <c r="Y815" s="61" t="n"/>
      <c r="Z815" s="61" t="n"/>
      <c r="AA815" s="61" t="n"/>
      <c r="AB815" s="61" t="n"/>
      <c r="AC815" s="61" t="n"/>
      <c r="AD815" s="61" t="n"/>
      <c r="AE815" s="61" t="n"/>
      <c r="AF815" s="61" t="n"/>
      <c r="AG815" s="61" t="n"/>
      <c r="AH815" s="61" t="n"/>
    </row>
    <row r="816" ht="15.75" customHeight="1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  <c r="M816" s="61" t="n"/>
      <c r="N816" s="61" t="n"/>
      <c r="O816" s="61" t="n"/>
      <c r="P816" s="61" t="n"/>
      <c r="Q816" s="61" t="n"/>
      <c r="R816" s="61" t="n"/>
      <c r="S816" s="61" t="n"/>
      <c r="T816" s="61" t="n"/>
      <c r="U816" s="61" t="n"/>
      <c r="V816" s="61" t="n"/>
      <c r="W816" s="61" t="n"/>
      <c r="X816" s="61" t="n"/>
      <c r="Y816" s="61" t="n"/>
      <c r="Z816" s="61" t="n"/>
      <c r="AA816" s="61" t="n"/>
      <c r="AB816" s="61" t="n"/>
      <c r="AC816" s="61" t="n"/>
      <c r="AD816" s="61" t="n"/>
      <c r="AE816" s="61" t="n"/>
      <c r="AF816" s="61" t="n"/>
      <c r="AG816" s="61" t="n"/>
      <c r="AH816" s="61" t="n"/>
    </row>
    <row r="817" ht="15.75" customHeight="1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  <c r="M817" s="61" t="n"/>
      <c r="N817" s="61" t="n"/>
      <c r="O817" s="61" t="n"/>
      <c r="P817" s="61" t="n"/>
      <c r="Q817" s="61" t="n"/>
      <c r="R817" s="61" t="n"/>
      <c r="S817" s="61" t="n"/>
      <c r="T817" s="61" t="n"/>
      <c r="U817" s="61" t="n"/>
      <c r="V817" s="61" t="n"/>
      <c r="W817" s="61" t="n"/>
      <c r="X817" s="61" t="n"/>
      <c r="Y817" s="61" t="n"/>
      <c r="Z817" s="61" t="n"/>
      <c r="AA817" s="61" t="n"/>
      <c r="AB817" s="61" t="n"/>
      <c r="AC817" s="61" t="n"/>
      <c r="AD817" s="61" t="n"/>
      <c r="AE817" s="61" t="n"/>
      <c r="AF817" s="61" t="n"/>
      <c r="AG817" s="61" t="n"/>
      <c r="AH817" s="61" t="n"/>
    </row>
    <row r="818" ht="15.75" customHeight="1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  <c r="M818" s="61" t="n"/>
      <c r="N818" s="61" t="n"/>
      <c r="O818" s="61" t="n"/>
      <c r="P818" s="61" t="n"/>
      <c r="Q818" s="61" t="n"/>
      <c r="R818" s="61" t="n"/>
      <c r="S818" s="61" t="n"/>
      <c r="T818" s="61" t="n"/>
      <c r="U818" s="61" t="n"/>
      <c r="V818" s="61" t="n"/>
      <c r="W818" s="61" t="n"/>
      <c r="X818" s="61" t="n"/>
      <c r="Y818" s="61" t="n"/>
      <c r="Z818" s="61" t="n"/>
      <c r="AA818" s="61" t="n"/>
      <c r="AB818" s="61" t="n"/>
      <c r="AC818" s="61" t="n"/>
      <c r="AD818" s="61" t="n"/>
      <c r="AE818" s="61" t="n"/>
      <c r="AF818" s="61" t="n"/>
      <c r="AG818" s="61" t="n"/>
      <c r="AH818" s="61" t="n"/>
    </row>
    <row r="819" ht="15.75" customHeight="1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  <c r="M819" s="61" t="n"/>
      <c r="N819" s="61" t="n"/>
      <c r="O819" s="61" t="n"/>
      <c r="P819" s="61" t="n"/>
      <c r="Q819" s="61" t="n"/>
      <c r="R819" s="61" t="n"/>
      <c r="S819" s="61" t="n"/>
      <c r="T819" s="61" t="n"/>
      <c r="U819" s="61" t="n"/>
      <c r="V819" s="61" t="n"/>
      <c r="W819" s="61" t="n"/>
      <c r="X819" s="61" t="n"/>
      <c r="Y819" s="61" t="n"/>
      <c r="Z819" s="61" t="n"/>
      <c r="AA819" s="61" t="n"/>
      <c r="AB819" s="61" t="n"/>
      <c r="AC819" s="61" t="n"/>
      <c r="AD819" s="61" t="n"/>
      <c r="AE819" s="61" t="n"/>
      <c r="AF819" s="61" t="n"/>
      <c r="AG819" s="61" t="n"/>
      <c r="AH819" s="61" t="n"/>
    </row>
    <row r="820" ht="15.75" customHeight="1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  <c r="M820" s="61" t="n"/>
      <c r="N820" s="61" t="n"/>
      <c r="O820" s="61" t="n"/>
      <c r="P820" s="61" t="n"/>
      <c r="Q820" s="61" t="n"/>
      <c r="R820" s="61" t="n"/>
      <c r="S820" s="61" t="n"/>
      <c r="T820" s="61" t="n"/>
      <c r="U820" s="61" t="n"/>
      <c r="V820" s="61" t="n"/>
      <c r="W820" s="61" t="n"/>
      <c r="X820" s="61" t="n"/>
      <c r="Y820" s="61" t="n"/>
      <c r="Z820" s="61" t="n"/>
      <c r="AA820" s="61" t="n"/>
      <c r="AB820" s="61" t="n"/>
      <c r="AC820" s="61" t="n"/>
      <c r="AD820" s="61" t="n"/>
      <c r="AE820" s="61" t="n"/>
      <c r="AF820" s="61" t="n"/>
      <c r="AG820" s="61" t="n"/>
      <c r="AH820" s="61" t="n"/>
    </row>
    <row r="821" ht="15.75" customHeight="1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  <c r="M821" s="61" t="n"/>
      <c r="N821" s="61" t="n"/>
      <c r="O821" s="61" t="n"/>
      <c r="P821" s="61" t="n"/>
      <c r="Q821" s="61" t="n"/>
      <c r="R821" s="61" t="n"/>
      <c r="S821" s="61" t="n"/>
      <c r="T821" s="61" t="n"/>
      <c r="U821" s="61" t="n"/>
      <c r="V821" s="61" t="n"/>
      <c r="W821" s="61" t="n"/>
      <c r="X821" s="61" t="n"/>
      <c r="Y821" s="61" t="n"/>
      <c r="Z821" s="61" t="n"/>
      <c r="AA821" s="61" t="n"/>
      <c r="AB821" s="61" t="n"/>
      <c r="AC821" s="61" t="n"/>
      <c r="AD821" s="61" t="n"/>
      <c r="AE821" s="61" t="n"/>
      <c r="AF821" s="61" t="n"/>
      <c r="AG821" s="61" t="n"/>
      <c r="AH821" s="61" t="n"/>
    </row>
    <row r="822" ht="15.75" customHeight="1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  <c r="M822" s="61" t="n"/>
      <c r="N822" s="61" t="n"/>
      <c r="O822" s="61" t="n"/>
      <c r="P822" s="61" t="n"/>
      <c r="Q822" s="61" t="n"/>
      <c r="R822" s="61" t="n"/>
      <c r="S822" s="61" t="n"/>
      <c r="T822" s="61" t="n"/>
      <c r="U822" s="61" t="n"/>
      <c r="V822" s="61" t="n"/>
      <c r="W822" s="61" t="n"/>
      <c r="X822" s="61" t="n"/>
      <c r="Y822" s="61" t="n"/>
      <c r="Z822" s="61" t="n"/>
      <c r="AA822" s="61" t="n"/>
      <c r="AB822" s="61" t="n"/>
      <c r="AC822" s="61" t="n"/>
      <c r="AD822" s="61" t="n"/>
      <c r="AE822" s="61" t="n"/>
      <c r="AF822" s="61" t="n"/>
      <c r="AG822" s="61" t="n"/>
      <c r="AH822" s="61" t="n"/>
    </row>
    <row r="823" ht="15.75" customHeight="1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  <c r="M823" s="61" t="n"/>
      <c r="N823" s="61" t="n"/>
      <c r="O823" s="61" t="n"/>
      <c r="P823" s="61" t="n"/>
      <c r="Q823" s="61" t="n"/>
      <c r="R823" s="61" t="n"/>
      <c r="S823" s="61" t="n"/>
      <c r="T823" s="61" t="n"/>
      <c r="U823" s="61" t="n"/>
      <c r="V823" s="61" t="n"/>
      <c r="W823" s="61" t="n"/>
      <c r="X823" s="61" t="n"/>
      <c r="Y823" s="61" t="n"/>
      <c r="Z823" s="61" t="n"/>
      <c r="AA823" s="61" t="n"/>
      <c r="AB823" s="61" t="n"/>
      <c r="AC823" s="61" t="n"/>
      <c r="AD823" s="61" t="n"/>
      <c r="AE823" s="61" t="n"/>
      <c r="AF823" s="61" t="n"/>
      <c r="AG823" s="61" t="n"/>
      <c r="AH823" s="61" t="n"/>
    </row>
    <row r="824" ht="15.75" customHeight="1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  <c r="M824" s="61" t="n"/>
      <c r="N824" s="61" t="n"/>
      <c r="O824" s="61" t="n"/>
      <c r="P824" s="61" t="n"/>
      <c r="Q824" s="61" t="n"/>
      <c r="R824" s="61" t="n"/>
      <c r="S824" s="61" t="n"/>
      <c r="T824" s="61" t="n"/>
      <c r="U824" s="61" t="n"/>
      <c r="V824" s="61" t="n"/>
      <c r="W824" s="61" t="n"/>
      <c r="X824" s="61" t="n"/>
      <c r="Y824" s="61" t="n"/>
      <c r="Z824" s="61" t="n"/>
      <c r="AA824" s="61" t="n"/>
      <c r="AB824" s="61" t="n"/>
      <c r="AC824" s="61" t="n"/>
      <c r="AD824" s="61" t="n"/>
      <c r="AE824" s="61" t="n"/>
      <c r="AF824" s="61" t="n"/>
      <c r="AG824" s="61" t="n"/>
      <c r="AH824" s="61" t="n"/>
    </row>
    <row r="825" ht="15.75" customHeight="1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  <c r="M825" s="61" t="n"/>
      <c r="N825" s="61" t="n"/>
      <c r="O825" s="61" t="n"/>
      <c r="P825" s="61" t="n"/>
      <c r="Q825" s="61" t="n"/>
      <c r="R825" s="61" t="n"/>
      <c r="S825" s="61" t="n"/>
      <c r="T825" s="61" t="n"/>
      <c r="U825" s="61" t="n"/>
      <c r="V825" s="61" t="n"/>
      <c r="W825" s="61" t="n"/>
      <c r="X825" s="61" t="n"/>
      <c r="Y825" s="61" t="n"/>
      <c r="Z825" s="61" t="n"/>
      <c r="AA825" s="61" t="n"/>
      <c r="AB825" s="61" t="n"/>
      <c r="AC825" s="61" t="n"/>
      <c r="AD825" s="61" t="n"/>
      <c r="AE825" s="61" t="n"/>
      <c r="AF825" s="61" t="n"/>
      <c r="AG825" s="61" t="n"/>
      <c r="AH825" s="61" t="n"/>
    </row>
    <row r="826" ht="15.75" customHeight="1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  <c r="M826" s="61" t="n"/>
      <c r="N826" s="61" t="n"/>
      <c r="O826" s="61" t="n"/>
      <c r="P826" s="61" t="n"/>
      <c r="Q826" s="61" t="n"/>
      <c r="R826" s="61" t="n"/>
      <c r="S826" s="61" t="n"/>
      <c r="T826" s="61" t="n"/>
      <c r="U826" s="61" t="n"/>
      <c r="V826" s="61" t="n"/>
      <c r="W826" s="61" t="n"/>
      <c r="X826" s="61" t="n"/>
      <c r="Y826" s="61" t="n"/>
      <c r="Z826" s="61" t="n"/>
      <c r="AA826" s="61" t="n"/>
      <c r="AB826" s="61" t="n"/>
      <c r="AC826" s="61" t="n"/>
      <c r="AD826" s="61" t="n"/>
      <c r="AE826" s="61" t="n"/>
      <c r="AF826" s="61" t="n"/>
      <c r="AG826" s="61" t="n"/>
      <c r="AH826" s="61" t="n"/>
    </row>
    <row r="827" ht="15.75" customHeight="1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  <c r="M827" s="61" t="n"/>
      <c r="N827" s="61" t="n"/>
      <c r="O827" s="61" t="n"/>
      <c r="P827" s="61" t="n"/>
      <c r="Q827" s="61" t="n"/>
      <c r="R827" s="61" t="n"/>
      <c r="S827" s="61" t="n"/>
      <c r="T827" s="61" t="n"/>
      <c r="U827" s="61" t="n"/>
      <c r="V827" s="61" t="n"/>
      <c r="W827" s="61" t="n"/>
      <c r="X827" s="61" t="n"/>
      <c r="Y827" s="61" t="n"/>
      <c r="Z827" s="61" t="n"/>
      <c r="AA827" s="61" t="n"/>
      <c r="AB827" s="61" t="n"/>
      <c r="AC827" s="61" t="n"/>
      <c r="AD827" s="61" t="n"/>
      <c r="AE827" s="61" t="n"/>
      <c r="AF827" s="61" t="n"/>
      <c r="AG827" s="61" t="n"/>
      <c r="AH827" s="61" t="n"/>
    </row>
    <row r="828" ht="15.75" customHeight="1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  <c r="M828" s="61" t="n"/>
      <c r="N828" s="61" t="n"/>
      <c r="O828" s="61" t="n"/>
      <c r="P828" s="61" t="n"/>
      <c r="Q828" s="61" t="n"/>
      <c r="R828" s="61" t="n"/>
      <c r="S828" s="61" t="n"/>
      <c r="T828" s="61" t="n"/>
      <c r="U828" s="61" t="n"/>
      <c r="V828" s="61" t="n"/>
      <c r="W828" s="61" t="n"/>
      <c r="X828" s="61" t="n"/>
      <c r="Y828" s="61" t="n"/>
      <c r="Z828" s="61" t="n"/>
      <c r="AA828" s="61" t="n"/>
      <c r="AB828" s="61" t="n"/>
      <c r="AC828" s="61" t="n"/>
      <c r="AD828" s="61" t="n"/>
      <c r="AE828" s="61" t="n"/>
      <c r="AF828" s="61" t="n"/>
      <c r="AG828" s="61" t="n"/>
      <c r="AH828" s="61" t="n"/>
    </row>
    <row r="829" ht="15.75" customHeight="1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  <c r="M829" s="61" t="n"/>
      <c r="N829" s="61" t="n"/>
      <c r="O829" s="61" t="n"/>
      <c r="P829" s="61" t="n"/>
      <c r="Q829" s="61" t="n"/>
      <c r="R829" s="61" t="n"/>
      <c r="S829" s="61" t="n"/>
      <c r="T829" s="61" t="n"/>
      <c r="U829" s="61" t="n"/>
      <c r="V829" s="61" t="n"/>
      <c r="W829" s="61" t="n"/>
      <c r="X829" s="61" t="n"/>
      <c r="Y829" s="61" t="n"/>
      <c r="Z829" s="61" t="n"/>
      <c r="AA829" s="61" t="n"/>
      <c r="AB829" s="61" t="n"/>
      <c r="AC829" s="61" t="n"/>
      <c r="AD829" s="61" t="n"/>
      <c r="AE829" s="61" t="n"/>
      <c r="AF829" s="61" t="n"/>
      <c r="AG829" s="61" t="n"/>
      <c r="AH829" s="61" t="n"/>
    </row>
    <row r="830" ht="15.75" customHeight="1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  <c r="M830" s="61" t="n"/>
      <c r="N830" s="61" t="n"/>
      <c r="O830" s="61" t="n"/>
      <c r="P830" s="61" t="n"/>
      <c r="Q830" s="61" t="n"/>
      <c r="R830" s="61" t="n"/>
      <c r="S830" s="61" t="n"/>
      <c r="T830" s="61" t="n"/>
      <c r="U830" s="61" t="n"/>
      <c r="V830" s="61" t="n"/>
      <c r="W830" s="61" t="n"/>
      <c r="X830" s="61" t="n"/>
      <c r="Y830" s="61" t="n"/>
      <c r="Z830" s="61" t="n"/>
      <c r="AA830" s="61" t="n"/>
      <c r="AB830" s="61" t="n"/>
      <c r="AC830" s="61" t="n"/>
      <c r="AD830" s="61" t="n"/>
      <c r="AE830" s="61" t="n"/>
      <c r="AF830" s="61" t="n"/>
      <c r="AG830" s="61" t="n"/>
      <c r="AH830" s="61" t="n"/>
    </row>
    <row r="831" ht="15.75" customHeight="1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  <c r="M831" s="61" t="n"/>
      <c r="N831" s="61" t="n"/>
      <c r="O831" s="61" t="n"/>
      <c r="P831" s="61" t="n"/>
      <c r="Q831" s="61" t="n"/>
      <c r="R831" s="61" t="n"/>
      <c r="S831" s="61" t="n"/>
      <c r="T831" s="61" t="n"/>
      <c r="U831" s="61" t="n"/>
      <c r="V831" s="61" t="n"/>
      <c r="W831" s="61" t="n"/>
      <c r="X831" s="61" t="n"/>
      <c r="Y831" s="61" t="n"/>
      <c r="Z831" s="61" t="n"/>
      <c r="AA831" s="61" t="n"/>
      <c r="AB831" s="61" t="n"/>
      <c r="AC831" s="61" t="n"/>
      <c r="AD831" s="61" t="n"/>
      <c r="AE831" s="61" t="n"/>
      <c r="AF831" s="61" t="n"/>
      <c r="AG831" s="61" t="n"/>
      <c r="AH831" s="61" t="n"/>
    </row>
    <row r="832" ht="15.75" customHeight="1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  <c r="M832" s="61" t="n"/>
      <c r="N832" s="61" t="n"/>
      <c r="O832" s="61" t="n"/>
      <c r="P832" s="61" t="n"/>
      <c r="Q832" s="61" t="n"/>
      <c r="R832" s="61" t="n"/>
      <c r="S832" s="61" t="n"/>
      <c r="T832" s="61" t="n"/>
      <c r="U832" s="61" t="n"/>
      <c r="V832" s="61" t="n"/>
      <c r="W832" s="61" t="n"/>
      <c r="X832" s="61" t="n"/>
      <c r="Y832" s="61" t="n"/>
      <c r="Z832" s="61" t="n"/>
      <c r="AA832" s="61" t="n"/>
      <c r="AB832" s="61" t="n"/>
      <c r="AC832" s="61" t="n"/>
      <c r="AD832" s="61" t="n"/>
      <c r="AE832" s="61" t="n"/>
      <c r="AF832" s="61" t="n"/>
      <c r="AG832" s="61" t="n"/>
      <c r="AH832" s="61" t="n"/>
    </row>
    <row r="833" ht="15.75" customHeight="1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  <c r="M833" s="61" t="n"/>
      <c r="N833" s="61" t="n"/>
      <c r="O833" s="61" t="n"/>
      <c r="P833" s="61" t="n"/>
      <c r="Q833" s="61" t="n"/>
      <c r="R833" s="61" t="n"/>
      <c r="S833" s="61" t="n"/>
      <c r="T833" s="61" t="n"/>
      <c r="U833" s="61" t="n"/>
      <c r="V833" s="61" t="n"/>
      <c r="W833" s="61" t="n"/>
      <c r="X833" s="61" t="n"/>
      <c r="Y833" s="61" t="n"/>
      <c r="Z833" s="61" t="n"/>
      <c r="AA833" s="61" t="n"/>
      <c r="AB833" s="61" t="n"/>
      <c r="AC833" s="61" t="n"/>
      <c r="AD833" s="61" t="n"/>
      <c r="AE833" s="61" t="n"/>
      <c r="AF833" s="61" t="n"/>
      <c r="AG833" s="61" t="n"/>
      <c r="AH833" s="61" t="n"/>
    </row>
    <row r="834" ht="15.75" customHeight="1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  <c r="M834" s="61" t="n"/>
      <c r="N834" s="61" t="n"/>
      <c r="O834" s="61" t="n"/>
      <c r="P834" s="61" t="n"/>
      <c r="Q834" s="61" t="n"/>
      <c r="R834" s="61" t="n"/>
      <c r="S834" s="61" t="n"/>
      <c r="T834" s="61" t="n"/>
      <c r="U834" s="61" t="n"/>
      <c r="V834" s="61" t="n"/>
      <c r="W834" s="61" t="n"/>
      <c r="X834" s="61" t="n"/>
      <c r="Y834" s="61" t="n"/>
      <c r="Z834" s="61" t="n"/>
      <c r="AA834" s="61" t="n"/>
      <c r="AB834" s="61" t="n"/>
      <c r="AC834" s="61" t="n"/>
      <c r="AD834" s="61" t="n"/>
      <c r="AE834" s="61" t="n"/>
      <c r="AF834" s="61" t="n"/>
      <c r="AG834" s="61" t="n"/>
      <c r="AH834" s="61" t="n"/>
    </row>
    <row r="835" ht="15.75" customHeight="1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  <c r="M835" s="61" t="n"/>
      <c r="N835" s="61" t="n"/>
      <c r="O835" s="61" t="n"/>
      <c r="P835" s="61" t="n"/>
      <c r="Q835" s="61" t="n"/>
      <c r="R835" s="61" t="n"/>
      <c r="S835" s="61" t="n"/>
      <c r="T835" s="61" t="n"/>
      <c r="U835" s="61" t="n"/>
      <c r="V835" s="61" t="n"/>
      <c r="W835" s="61" t="n"/>
      <c r="X835" s="61" t="n"/>
      <c r="Y835" s="61" t="n"/>
      <c r="Z835" s="61" t="n"/>
      <c r="AA835" s="61" t="n"/>
      <c r="AB835" s="61" t="n"/>
      <c r="AC835" s="61" t="n"/>
      <c r="AD835" s="61" t="n"/>
      <c r="AE835" s="61" t="n"/>
      <c r="AF835" s="61" t="n"/>
      <c r="AG835" s="61" t="n"/>
      <c r="AH835" s="61" t="n"/>
    </row>
    <row r="836" ht="15.75" customHeight="1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  <c r="M836" s="61" t="n"/>
      <c r="N836" s="61" t="n"/>
      <c r="O836" s="61" t="n"/>
      <c r="P836" s="61" t="n"/>
      <c r="Q836" s="61" t="n"/>
      <c r="R836" s="61" t="n"/>
      <c r="S836" s="61" t="n"/>
      <c r="T836" s="61" t="n"/>
      <c r="U836" s="61" t="n"/>
      <c r="V836" s="61" t="n"/>
      <c r="W836" s="61" t="n"/>
      <c r="X836" s="61" t="n"/>
      <c r="Y836" s="61" t="n"/>
      <c r="Z836" s="61" t="n"/>
      <c r="AA836" s="61" t="n"/>
      <c r="AB836" s="61" t="n"/>
      <c r="AC836" s="61" t="n"/>
      <c r="AD836" s="61" t="n"/>
      <c r="AE836" s="61" t="n"/>
      <c r="AF836" s="61" t="n"/>
      <c r="AG836" s="61" t="n"/>
      <c r="AH836" s="61" t="n"/>
    </row>
    <row r="837" ht="15.75" customHeight="1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  <c r="M837" s="61" t="n"/>
      <c r="N837" s="61" t="n"/>
      <c r="O837" s="61" t="n"/>
      <c r="P837" s="61" t="n"/>
      <c r="Q837" s="61" t="n"/>
      <c r="R837" s="61" t="n"/>
      <c r="S837" s="61" t="n"/>
      <c r="T837" s="61" t="n"/>
      <c r="U837" s="61" t="n"/>
      <c r="V837" s="61" t="n"/>
      <c r="W837" s="61" t="n"/>
      <c r="X837" s="61" t="n"/>
      <c r="Y837" s="61" t="n"/>
      <c r="Z837" s="61" t="n"/>
      <c r="AA837" s="61" t="n"/>
      <c r="AB837" s="61" t="n"/>
      <c r="AC837" s="61" t="n"/>
      <c r="AD837" s="61" t="n"/>
      <c r="AE837" s="61" t="n"/>
      <c r="AF837" s="61" t="n"/>
      <c r="AG837" s="61" t="n"/>
      <c r="AH837" s="61" t="n"/>
    </row>
    <row r="838" ht="15.75" customHeight="1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  <c r="M838" s="61" t="n"/>
      <c r="N838" s="61" t="n"/>
      <c r="O838" s="61" t="n"/>
      <c r="P838" s="61" t="n"/>
      <c r="Q838" s="61" t="n"/>
      <c r="R838" s="61" t="n"/>
      <c r="S838" s="61" t="n"/>
      <c r="T838" s="61" t="n"/>
      <c r="U838" s="61" t="n"/>
      <c r="V838" s="61" t="n"/>
      <c r="W838" s="61" t="n"/>
      <c r="X838" s="61" t="n"/>
      <c r="Y838" s="61" t="n"/>
      <c r="Z838" s="61" t="n"/>
      <c r="AA838" s="61" t="n"/>
      <c r="AB838" s="61" t="n"/>
      <c r="AC838" s="61" t="n"/>
      <c r="AD838" s="61" t="n"/>
      <c r="AE838" s="61" t="n"/>
      <c r="AF838" s="61" t="n"/>
      <c r="AG838" s="61" t="n"/>
      <c r="AH838" s="61" t="n"/>
    </row>
    <row r="839" ht="15.75" customHeight="1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  <c r="M839" s="61" t="n"/>
      <c r="N839" s="61" t="n"/>
      <c r="O839" s="61" t="n"/>
      <c r="P839" s="61" t="n"/>
      <c r="Q839" s="61" t="n"/>
      <c r="R839" s="61" t="n"/>
      <c r="S839" s="61" t="n"/>
      <c r="T839" s="61" t="n"/>
      <c r="U839" s="61" t="n"/>
      <c r="V839" s="61" t="n"/>
      <c r="W839" s="61" t="n"/>
      <c r="X839" s="61" t="n"/>
      <c r="Y839" s="61" t="n"/>
      <c r="Z839" s="61" t="n"/>
      <c r="AA839" s="61" t="n"/>
      <c r="AB839" s="61" t="n"/>
      <c r="AC839" s="61" t="n"/>
      <c r="AD839" s="61" t="n"/>
      <c r="AE839" s="61" t="n"/>
      <c r="AF839" s="61" t="n"/>
      <c r="AG839" s="61" t="n"/>
      <c r="AH839" s="61" t="n"/>
    </row>
    <row r="840" ht="15.75" customHeight="1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  <c r="M840" s="61" t="n"/>
      <c r="N840" s="61" t="n"/>
      <c r="O840" s="61" t="n"/>
      <c r="P840" s="61" t="n"/>
      <c r="Q840" s="61" t="n"/>
      <c r="R840" s="61" t="n"/>
      <c r="S840" s="61" t="n"/>
      <c r="T840" s="61" t="n"/>
      <c r="U840" s="61" t="n"/>
      <c r="V840" s="61" t="n"/>
      <c r="W840" s="61" t="n"/>
      <c r="X840" s="61" t="n"/>
      <c r="Y840" s="61" t="n"/>
      <c r="Z840" s="61" t="n"/>
      <c r="AA840" s="61" t="n"/>
      <c r="AB840" s="61" t="n"/>
      <c r="AC840" s="61" t="n"/>
      <c r="AD840" s="61" t="n"/>
      <c r="AE840" s="61" t="n"/>
      <c r="AF840" s="61" t="n"/>
      <c r="AG840" s="61" t="n"/>
      <c r="AH840" s="61" t="n"/>
    </row>
    <row r="841" ht="15.75" customHeight="1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  <c r="M841" s="61" t="n"/>
      <c r="N841" s="61" t="n"/>
      <c r="O841" s="61" t="n"/>
      <c r="P841" s="61" t="n"/>
      <c r="Q841" s="61" t="n"/>
      <c r="R841" s="61" t="n"/>
      <c r="S841" s="61" t="n"/>
      <c r="T841" s="61" t="n"/>
      <c r="U841" s="61" t="n"/>
      <c r="V841" s="61" t="n"/>
      <c r="W841" s="61" t="n"/>
      <c r="X841" s="61" t="n"/>
      <c r="Y841" s="61" t="n"/>
      <c r="Z841" s="61" t="n"/>
      <c r="AA841" s="61" t="n"/>
      <c r="AB841" s="61" t="n"/>
      <c r="AC841" s="61" t="n"/>
      <c r="AD841" s="61" t="n"/>
      <c r="AE841" s="61" t="n"/>
      <c r="AF841" s="61" t="n"/>
      <c r="AG841" s="61" t="n"/>
      <c r="AH841" s="61" t="n"/>
    </row>
    <row r="842" ht="15.75" customHeight="1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  <c r="M842" s="61" t="n"/>
      <c r="N842" s="61" t="n"/>
      <c r="O842" s="61" t="n"/>
      <c r="P842" s="61" t="n"/>
      <c r="Q842" s="61" t="n"/>
      <c r="R842" s="61" t="n"/>
      <c r="S842" s="61" t="n"/>
      <c r="T842" s="61" t="n"/>
      <c r="U842" s="61" t="n"/>
      <c r="V842" s="61" t="n"/>
      <c r="W842" s="61" t="n"/>
      <c r="X842" s="61" t="n"/>
      <c r="Y842" s="61" t="n"/>
      <c r="Z842" s="61" t="n"/>
      <c r="AA842" s="61" t="n"/>
      <c r="AB842" s="61" t="n"/>
      <c r="AC842" s="61" t="n"/>
      <c r="AD842" s="61" t="n"/>
      <c r="AE842" s="61" t="n"/>
      <c r="AF842" s="61" t="n"/>
      <c r="AG842" s="61" t="n"/>
      <c r="AH842" s="61" t="n"/>
    </row>
    <row r="843" ht="15.75" customHeight="1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  <c r="M843" s="61" t="n"/>
      <c r="N843" s="61" t="n"/>
      <c r="O843" s="61" t="n"/>
      <c r="P843" s="61" t="n"/>
      <c r="Q843" s="61" t="n"/>
      <c r="R843" s="61" t="n"/>
      <c r="S843" s="61" t="n"/>
      <c r="T843" s="61" t="n"/>
      <c r="U843" s="61" t="n"/>
      <c r="V843" s="61" t="n"/>
      <c r="W843" s="61" t="n"/>
      <c r="X843" s="61" t="n"/>
      <c r="Y843" s="61" t="n"/>
      <c r="Z843" s="61" t="n"/>
      <c r="AA843" s="61" t="n"/>
      <c r="AB843" s="61" t="n"/>
      <c r="AC843" s="61" t="n"/>
      <c r="AD843" s="61" t="n"/>
      <c r="AE843" s="61" t="n"/>
      <c r="AF843" s="61" t="n"/>
      <c r="AG843" s="61" t="n"/>
      <c r="AH843" s="61" t="n"/>
    </row>
    <row r="844" ht="15.75" customHeight="1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  <c r="M844" s="61" t="n"/>
      <c r="N844" s="61" t="n"/>
      <c r="O844" s="61" t="n"/>
      <c r="P844" s="61" t="n"/>
      <c r="Q844" s="61" t="n"/>
      <c r="R844" s="61" t="n"/>
      <c r="S844" s="61" t="n"/>
      <c r="T844" s="61" t="n"/>
      <c r="U844" s="61" t="n"/>
      <c r="V844" s="61" t="n"/>
      <c r="W844" s="61" t="n"/>
      <c r="X844" s="61" t="n"/>
      <c r="Y844" s="61" t="n"/>
      <c r="Z844" s="61" t="n"/>
      <c r="AA844" s="61" t="n"/>
      <c r="AB844" s="61" t="n"/>
      <c r="AC844" s="61" t="n"/>
      <c r="AD844" s="61" t="n"/>
      <c r="AE844" s="61" t="n"/>
      <c r="AF844" s="61" t="n"/>
      <c r="AG844" s="61" t="n"/>
      <c r="AH844" s="61" t="n"/>
    </row>
    <row r="845" ht="15.75" customHeight="1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  <c r="M845" s="61" t="n"/>
      <c r="N845" s="61" t="n"/>
      <c r="O845" s="61" t="n"/>
      <c r="P845" s="61" t="n"/>
      <c r="Q845" s="61" t="n"/>
      <c r="R845" s="61" t="n"/>
      <c r="S845" s="61" t="n"/>
      <c r="T845" s="61" t="n"/>
      <c r="U845" s="61" t="n"/>
      <c r="V845" s="61" t="n"/>
      <c r="W845" s="61" t="n"/>
      <c r="X845" s="61" t="n"/>
      <c r="Y845" s="61" t="n"/>
      <c r="Z845" s="61" t="n"/>
      <c r="AA845" s="61" t="n"/>
      <c r="AB845" s="61" t="n"/>
      <c r="AC845" s="61" t="n"/>
      <c r="AD845" s="61" t="n"/>
      <c r="AE845" s="61" t="n"/>
      <c r="AF845" s="61" t="n"/>
      <c r="AG845" s="61" t="n"/>
      <c r="AH845" s="61" t="n"/>
    </row>
    <row r="846" ht="15.75" customHeight="1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  <c r="M846" s="61" t="n"/>
      <c r="N846" s="61" t="n"/>
      <c r="O846" s="61" t="n"/>
      <c r="P846" s="61" t="n"/>
      <c r="Q846" s="61" t="n"/>
      <c r="R846" s="61" t="n"/>
      <c r="S846" s="61" t="n"/>
      <c r="T846" s="61" t="n"/>
      <c r="U846" s="61" t="n"/>
      <c r="V846" s="61" t="n"/>
      <c r="W846" s="61" t="n"/>
      <c r="X846" s="61" t="n"/>
      <c r="Y846" s="61" t="n"/>
      <c r="Z846" s="61" t="n"/>
      <c r="AA846" s="61" t="n"/>
      <c r="AB846" s="61" t="n"/>
      <c r="AC846" s="61" t="n"/>
      <c r="AD846" s="61" t="n"/>
      <c r="AE846" s="61" t="n"/>
      <c r="AF846" s="61" t="n"/>
      <c r="AG846" s="61" t="n"/>
      <c r="AH846" s="61" t="n"/>
    </row>
    <row r="847" ht="15.75" customHeight="1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  <c r="M847" s="61" t="n"/>
      <c r="N847" s="61" t="n"/>
      <c r="O847" s="61" t="n"/>
      <c r="P847" s="61" t="n"/>
      <c r="Q847" s="61" t="n"/>
      <c r="R847" s="61" t="n"/>
      <c r="S847" s="61" t="n"/>
      <c r="T847" s="61" t="n"/>
      <c r="U847" s="61" t="n"/>
      <c r="V847" s="61" t="n"/>
      <c r="W847" s="61" t="n"/>
      <c r="X847" s="61" t="n"/>
      <c r="Y847" s="61" t="n"/>
      <c r="Z847" s="61" t="n"/>
      <c r="AA847" s="61" t="n"/>
      <c r="AB847" s="61" t="n"/>
      <c r="AC847" s="61" t="n"/>
      <c r="AD847" s="61" t="n"/>
      <c r="AE847" s="61" t="n"/>
      <c r="AF847" s="61" t="n"/>
      <c r="AG847" s="61" t="n"/>
      <c r="AH847" s="61" t="n"/>
    </row>
    <row r="848" ht="15.75" customHeight="1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  <c r="M848" s="61" t="n"/>
      <c r="N848" s="61" t="n"/>
      <c r="O848" s="61" t="n"/>
      <c r="P848" s="61" t="n"/>
      <c r="Q848" s="61" t="n"/>
      <c r="R848" s="61" t="n"/>
      <c r="S848" s="61" t="n"/>
      <c r="T848" s="61" t="n"/>
      <c r="U848" s="61" t="n"/>
      <c r="V848" s="61" t="n"/>
      <c r="W848" s="61" t="n"/>
      <c r="X848" s="61" t="n"/>
      <c r="Y848" s="61" t="n"/>
      <c r="Z848" s="61" t="n"/>
      <c r="AA848" s="61" t="n"/>
      <c r="AB848" s="61" t="n"/>
      <c r="AC848" s="61" t="n"/>
      <c r="AD848" s="61" t="n"/>
      <c r="AE848" s="61" t="n"/>
      <c r="AF848" s="61" t="n"/>
      <c r="AG848" s="61" t="n"/>
      <c r="AH848" s="61" t="n"/>
    </row>
    <row r="849" ht="15.75" customHeight="1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  <c r="M849" s="61" t="n"/>
      <c r="N849" s="61" t="n"/>
      <c r="O849" s="61" t="n"/>
      <c r="P849" s="61" t="n"/>
      <c r="Q849" s="61" t="n"/>
      <c r="R849" s="61" t="n"/>
      <c r="S849" s="61" t="n"/>
      <c r="T849" s="61" t="n"/>
      <c r="U849" s="61" t="n"/>
      <c r="V849" s="61" t="n"/>
      <c r="W849" s="61" t="n"/>
      <c r="X849" s="61" t="n"/>
      <c r="Y849" s="61" t="n"/>
      <c r="Z849" s="61" t="n"/>
      <c r="AA849" s="61" t="n"/>
      <c r="AB849" s="61" t="n"/>
      <c r="AC849" s="61" t="n"/>
      <c r="AD849" s="61" t="n"/>
      <c r="AE849" s="61" t="n"/>
      <c r="AF849" s="61" t="n"/>
      <c r="AG849" s="61" t="n"/>
      <c r="AH849" s="61" t="n"/>
    </row>
    <row r="850" ht="15.75" customHeight="1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  <c r="M850" s="61" t="n"/>
      <c r="N850" s="61" t="n"/>
      <c r="O850" s="61" t="n"/>
      <c r="P850" s="61" t="n"/>
      <c r="Q850" s="61" t="n"/>
      <c r="R850" s="61" t="n"/>
      <c r="S850" s="61" t="n"/>
      <c r="T850" s="61" t="n"/>
      <c r="U850" s="61" t="n"/>
      <c r="V850" s="61" t="n"/>
      <c r="W850" s="61" t="n"/>
      <c r="X850" s="61" t="n"/>
      <c r="Y850" s="61" t="n"/>
      <c r="Z850" s="61" t="n"/>
      <c r="AA850" s="61" t="n"/>
      <c r="AB850" s="61" t="n"/>
      <c r="AC850" s="61" t="n"/>
      <c r="AD850" s="61" t="n"/>
      <c r="AE850" s="61" t="n"/>
      <c r="AF850" s="61" t="n"/>
      <c r="AG850" s="61" t="n"/>
      <c r="AH850" s="61" t="n"/>
    </row>
    <row r="851" ht="15.75" customHeight="1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  <c r="M851" s="61" t="n"/>
      <c r="N851" s="61" t="n"/>
      <c r="O851" s="61" t="n"/>
      <c r="P851" s="61" t="n"/>
      <c r="Q851" s="61" t="n"/>
      <c r="R851" s="61" t="n"/>
      <c r="S851" s="61" t="n"/>
      <c r="T851" s="61" t="n"/>
      <c r="U851" s="61" t="n"/>
      <c r="V851" s="61" t="n"/>
      <c r="W851" s="61" t="n"/>
      <c r="X851" s="61" t="n"/>
      <c r="Y851" s="61" t="n"/>
      <c r="Z851" s="61" t="n"/>
      <c r="AA851" s="61" t="n"/>
      <c r="AB851" s="61" t="n"/>
      <c r="AC851" s="61" t="n"/>
      <c r="AD851" s="61" t="n"/>
      <c r="AE851" s="61" t="n"/>
      <c r="AF851" s="61" t="n"/>
      <c r="AG851" s="61" t="n"/>
      <c r="AH851" s="61" t="n"/>
    </row>
    <row r="852" ht="15.75" customHeight="1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  <c r="M852" s="61" t="n"/>
      <c r="N852" s="61" t="n"/>
      <c r="O852" s="61" t="n"/>
      <c r="P852" s="61" t="n"/>
      <c r="Q852" s="61" t="n"/>
      <c r="R852" s="61" t="n"/>
      <c r="S852" s="61" t="n"/>
      <c r="T852" s="61" t="n"/>
      <c r="U852" s="61" t="n"/>
      <c r="V852" s="61" t="n"/>
      <c r="W852" s="61" t="n"/>
      <c r="X852" s="61" t="n"/>
      <c r="Y852" s="61" t="n"/>
      <c r="Z852" s="61" t="n"/>
      <c r="AA852" s="61" t="n"/>
      <c r="AB852" s="61" t="n"/>
      <c r="AC852" s="61" t="n"/>
      <c r="AD852" s="61" t="n"/>
      <c r="AE852" s="61" t="n"/>
      <c r="AF852" s="61" t="n"/>
      <c r="AG852" s="61" t="n"/>
      <c r="AH852" s="61" t="n"/>
    </row>
    <row r="853" ht="15.75" customHeight="1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  <c r="M853" s="61" t="n"/>
      <c r="N853" s="61" t="n"/>
      <c r="O853" s="61" t="n"/>
      <c r="P853" s="61" t="n"/>
      <c r="Q853" s="61" t="n"/>
      <c r="R853" s="61" t="n"/>
      <c r="S853" s="61" t="n"/>
      <c r="T853" s="61" t="n"/>
      <c r="U853" s="61" t="n"/>
      <c r="V853" s="61" t="n"/>
      <c r="W853" s="61" t="n"/>
      <c r="X853" s="61" t="n"/>
      <c r="Y853" s="61" t="n"/>
      <c r="Z853" s="61" t="n"/>
      <c r="AA853" s="61" t="n"/>
      <c r="AB853" s="61" t="n"/>
      <c r="AC853" s="61" t="n"/>
      <c r="AD853" s="61" t="n"/>
      <c r="AE853" s="61" t="n"/>
      <c r="AF853" s="61" t="n"/>
      <c r="AG853" s="61" t="n"/>
      <c r="AH853" s="61" t="n"/>
    </row>
    <row r="854" ht="15.75" customHeight="1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  <c r="M854" s="61" t="n"/>
      <c r="N854" s="61" t="n"/>
      <c r="O854" s="61" t="n"/>
      <c r="P854" s="61" t="n"/>
      <c r="Q854" s="61" t="n"/>
      <c r="R854" s="61" t="n"/>
      <c r="S854" s="61" t="n"/>
      <c r="T854" s="61" t="n"/>
      <c r="U854" s="61" t="n"/>
      <c r="V854" s="61" t="n"/>
      <c r="W854" s="61" t="n"/>
      <c r="X854" s="61" t="n"/>
      <c r="Y854" s="61" t="n"/>
      <c r="Z854" s="61" t="n"/>
      <c r="AA854" s="61" t="n"/>
      <c r="AB854" s="61" t="n"/>
      <c r="AC854" s="61" t="n"/>
      <c r="AD854" s="61" t="n"/>
      <c r="AE854" s="61" t="n"/>
      <c r="AF854" s="61" t="n"/>
      <c r="AG854" s="61" t="n"/>
      <c r="AH854" s="61" t="n"/>
    </row>
    <row r="855" ht="15.75" customHeight="1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  <c r="M855" s="61" t="n"/>
      <c r="N855" s="61" t="n"/>
      <c r="O855" s="61" t="n"/>
      <c r="P855" s="61" t="n"/>
      <c r="Q855" s="61" t="n"/>
      <c r="R855" s="61" t="n"/>
      <c r="S855" s="61" t="n"/>
      <c r="T855" s="61" t="n"/>
      <c r="U855" s="61" t="n"/>
      <c r="V855" s="61" t="n"/>
      <c r="W855" s="61" t="n"/>
      <c r="X855" s="61" t="n"/>
      <c r="Y855" s="61" t="n"/>
      <c r="Z855" s="61" t="n"/>
      <c r="AA855" s="61" t="n"/>
      <c r="AB855" s="61" t="n"/>
      <c r="AC855" s="61" t="n"/>
      <c r="AD855" s="61" t="n"/>
      <c r="AE855" s="61" t="n"/>
      <c r="AF855" s="61" t="n"/>
      <c r="AG855" s="61" t="n"/>
      <c r="AH855" s="61" t="n"/>
    </row>
    <row r="856" ht="15.75" customHeight="1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  <c r="M856" s="61" t="n"/>
      <c r="N856" s="61" t="n"/>
      <c r="O856" s="61" t="n"/>
      <c r="P856" s="61" t="n"/>
      <c r="Q856" s="61" t="n"/>
      <c r="R856" s="61" t="n"/>
      <c r="S856" s="61" t="n"/>
      <c r="T856" s="61" t="n"/>
      <c r="U856" s="61" t="n"/>
      <c r="V856" s="61" t="n"/>
      <c r="W856" s="61" t="n"/>
      <c r="X856" s="61" t="n"/>
      <c r="Y856" s="61" t="n"/>
      <c r="Z856" s="61" t="n"/>
      <c r="AA856" s="61" t="n"/>
      <c r="AB856" s="61" t="n"/>
      <c r="AC856" s="61" t="n"/>
      <c r="AD856" s="61" t="n"/>
      <c r="AE856" s="61" t="n"/>
      <c r="AF856" s="61" t="n"/>
      <c r="AG856" s="61" t="n"/>
      <c r="AH856" s="61" t="n"/>
    </row>
    <row r="857" ht="15.75" customHeight="1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  <c r="M857" s="61" t="n"/>
      <c r="N857" s="61" t="n"/>
      <c r="O857" s="61" t="n"/>
      <c r="P857" s="61" t="n"/>
      <c r="Q857" s="61" t="n"/>
      <c r="R857" s="61" t="n"/>
      <c r="S857" s="61" t="n"/>
      <c r="T857" s="61" t="n"/>
      <c r="U857" s="61" t="n"/>
      <c r="V857" s="61" t="n"/>
      <c r="W857" s="61" t="n"/>
      <c r="X857" s="61" t="n"/>
      <c r="Y857" s="61" t="n"/>
      <c r="Z857" s="61" t="n"/>
      <c r="AA857" s="61" t="n"/>
      <c r="AB857" s="61" t="n"/>
      <c r="AC857" s="61" t="n"/>
      <c r="AD857" s="61" t="n"/>
      <c r="AE857" s="61" t="n"/>
      <c r="AF857" s="61" t="n"/>
      <c r="AG857" s="61" t="n"/>
      <c r="AH857" s="61" t="n"/>
    </row>
    <row r="858" ht="15.75" customHeight="1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  <c r="M858" s="61" t="n"/>
      <c r="N858" s="61" t="n"/>
      <c r="O858" s="61" t="n"/>
      <c r="P858" s="61" t="n"/>
      <c r="Q858" s="61" t="n"/>
      <c r="R858" s="61" t="n"/>
      <c r="S858" s="61" t="n"/>
      <c r="T858" s="61" t="n"/>
      <c r="U858" s="61" t="n"/>
      <c r="V858" s="61" t="n"/>
      <c r="W858" s="61" t="n"/>
      <c r="X858" s="61" t="n"/>
      <c r="Y858" s="61" t="n"/>
      <c r="Z858" s="61" t="n"/>
      <c r="AA858" s="61" t="n"/>
      <c r="AB858" s="61" t="n"/>
      <c r="AC858" s="61" t="n"/>
      <c r="AD858" s="61" t="n"/>
      <c r="AE858" s="61" t="n"/>
      <c r="AF858" s="61" t="n"/>
      <c r="AG858" s="61" t="n"/>
      <c r="AH858" s="61" t="n"/>
    </row>
    <row r="859" ht="15.75" customHeight="1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  <c r="M859" s="61" t="n"/>
      <c r="N859" s="61" t="n"/>
      <c r="O859" s="61" t="n"/>
      <c r="P859" s="61" t="n"/>
      <c r="Q859" s="61" t="n"/>
      <c r="R859" s="61" t="n"/>
      <c r="S859" s="61" t="n"/>
      <c r="T859" s="61" t="n"/>
      <c r="U859" s="61" t="n"/>
      <c r="V859" s="61" t="n"/>
      <c r="W859" s="61" t="n"/>
      <c r="X859" s="61" t="n"/>
      <c r="Y859" s="61" t="n"/>
      <c r="Z859" s="61" t="n"/>
      <c r="AA859" s="61" t="n"/>
      <c r="AB859" s="61" t="n"/>
      <c r="AC859" s="61" t="n"/>
      <c r="AD859" s="61" t="n"/>
      <c r="AE859" s="61" t="n"/>
      <c r="AF859" s="61" t="n"/>
      <c r="AG859" s="61" t="n"/>
      <c r="AH859" s="61" t="n"/>
    </row>
    <row r="860" ht="15.75" customHeight="1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  <c r="M860" s="61" t="n"/>
      <c r="N860" s="61" t="n"/>
      <c r="O860" s="61" t="n"/>
      <c r="P860" s="61" t="n"/>
      <c r="Q860" s="61" t="n"/>
      <c r="R860" s="61" t="n"/>
      <c r="S860" s="61" t="n"/>
      <c r="T860" s="61" t="n"/>
      <c r="U860" s="61" t="n"/>
      <c r="V860" s="61" t="n"/>
      <c r="W860" s="61" t="n"/>
      <c r="X860" s="61" t="n"/>
      <c r="Y860" s="61" t="n"/>
      <c r="Z860" s="61" t="n"/>
      <c r="AA860" s="61" t="n"/>
      <c r="AB860" s="61" t="n"/>
      <c r="AC860" s="61" t="n"/>
      <c r="AD860" s="61" t="n"/>
      <c r="AE860" s="61" t="n"/>
      <c r="AF860" s="61" t="n"/>
      <c r="AG860" s="61" t="n"/>
      <c r="AH860" s="61" t="n"/>
    </row>
    <row r="861" ht="15.75" customHeight="1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  <c r="M861" s="61" t="n"/>
      <c r="N861" s="61" t="n"/>
      <c r="O861" s="61" t="n"/>
      <c r="P861" s="61" t="n"/>
      <c r="Q861" s="61" t="n"/>
      <c r="R861" s="61" t="n"/>
      <c r="S861" s="61" t="n"/>
      <c r="T861" s="61" t="n"/>
      <c r="U861" s="61" t="n"/>
      <c r="V861" s="61" t="n"/>
      <c r="W861" s="61" t="n"/>
      <c r="X861" s="61" t="n"/>
      <c r="Y861" s="61" t="n"/>
      <c r="Z861" s="61" t="n"/>
      <c r="AA861" s="61" t="n"/>
      <c r="AB861" s="61" t="n"/>
      <c r="AC861" s="61" t="n"/>
      <c r="AD861" s="61" t="n"/>
      <c r="AE861" s="61" t="n"/>
      <c r="AF861" s="61" t="n"/>
      <c r="AG861" s="61" t="n"/>
      <c r="AH861" s="61" t="n"/>
    </row>
    <row r="862" ht="15.75" customHeight="1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  <c r="M862" s="61" t="n"/>
      <c r="N862" s="61" t="n"/>
      <c r="O862" s="61" t="n"/>
      <c r="P862" s="61" t="n"/>
      <c r="Q862" s="61" t="n"/>
      <c r="R862" s="61" t="n"/>
      <c r="S862" s="61" t="n"/>
      <c r="T862" s="61" t="n"/>
      <c r="U862" s="61" t="n"/>
      <c r="V862" s="61" t="n"/>
      <c r="W862" s="61" t="n"/>
      <c r="X862" s="61" t="n"/>
      <c r="Y862" s="61" t="n"/>
      <c r="Z862" s="61" t="n"/>
      <c r="AA862" s="61" t="n"/>
      <c r="AB862" s="61" t="n"/>
      <c r="AC862" s="61" t="n"/>
      <c r="AD862" s="61" t="n"/>
      <c r="AE862" s="61" t="n"/>
      <c r="AF862" s="61" t="n"/>
      <c r="AG862" s="61" t="n"/>
      <c r="AH862" s="61" t="n"/>
    </row>
    <row r="863" ht="15.75" customHeight="1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  <c r="M863" s="61" t="n"/>
      <c r="N863" s="61" t="n"/>
      <c r="O863" s="61" t="n"/>
      <c r="P863" s="61" t="n"/>
      <c r="Q863" s="61" t="n"/>
      <c r="R863" s="61" t="n"/>
      <c r="S863" s="61" t="n"/>
      <c r="T863" s="61" t="n"/>
      <c r="U863" s="61" t="n"/>
      <c r="V863" s="61" t="n"/>
      <c r="W863" s="61" t="n"/>
      <c r="X863" s="61" t="n"/>
      <c r="Y863" s="61" t="n"/>
      <c r="Z863" s="61" t="n"/>
      <c r="AA863" s="61" t="n"/>
      <c r="AB863" s="61" t="n"/>
      <c r="AC863" s="61" t="n"/>
      <c r="AD863" s="61" t="n"/>
      <c r="AE863" s="61" t="n"/>
      <c r="AF863" s="61" t="n"/>
      <c r="AG863" s="61" t="n"/>
      <c r="AH863" s="61" t="n"/>
    </row>
    <row r="864" ht="15.75" customHeight="1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  <c r="M864" s="61" t="n"/>
      <c r="N864" s="61" t="n"/>
      <c r="O864" s="61" t="n"/>
      <c r="P864" s="61" t="n"/>
      <c r="Q864" s="61" t="n"/>
      <c r="R864" s="61" t="n"/>
      <c r="S864" s="61" t="n"/>
      <c r="T864" s="61" t="n"/>
      <c r="U864" s="61" t="n"/>
      <c r="V864" s="61" t="n"/>
      <c r="W864" s="61" t="n"/>
      <c r="X864" s="61" t="n"/>
      <c r="Y864" s="61" t="n"/>
      <c r="Z864" s="61" t="n"/>
      <c r="AA864" s="61" t="n"/>
      <c r="AB864" s="61" t="n"/>
      <c r="AC864" s="61" t="n"/>
      <c r="AD864" s="61" t="n"/>
      <c r="AE864" s="61" t="n"/>
      <c r="AF864" s="61" t="n"/>
      <c r="AG864" s="61" t="n"/>
      <c r="AH864" s="61" t="n"/>
    </row>
    <row r="865" ht="15.75" customHeight="1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  <c r="M865" s="61" t="n"/>
      <c r="N865" s="61" t="n"/>
      <c r="O865" s="61" t="n"/>
      <c r="P865" s="61" t="n"/>
      <c r="Q865" s="61" t="n"/>
      <c r="R865" s="61" t="n"/>
      <c r="S865" s="61" t="n"/>
      <c r="T865" s="61" t="n"/>
      <c r="U865" s="61" t="n"/>
      <c r="V865" s="61" t="n"/>
      <c r="W865" s="61" t="n"/>
      <c r="X865" s="61" t="n"/>
      <c r="Y865" s="61" t="n"/>
      <c r="Z865" s="61" t="n"/>
      <c r="AA865" s="61" t="n"/>
      <c r="AB865" s="61" t="n"/>
      <c r="AC865" s="61" t="n"/>
      <c r="AD865" s="61" t="n"/>
      <c r="AE865" s="61" t="n"/>
      <c r="AF865" s="61" t="n"/>
      <c r="AG865" s="61" t="n"/>
      <c r="AH865" s="61" t="n"/>
    </row>
    <row r="866" ht="15.75" customHeight="1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  <c r="M866" s="61" t="n"/>
      <c r="N866" s="61" t="n"/>
      <c r="O866" s="61" t="n"/>
      <c r="P866" s="61" t="n"/>
      <c r="Q866" s="61" t="n"/>
      <c r="R866" s="61" t="n"/>
      <c r="S866" s="61" t="n"/>
      <c r="T866" s="61" t="n"/>
      <c r="U866" s="61" t="n"/>
      <c r="V866" s="61" t="n"/>
      <c r="W866" s="61" t="n"/>
      <c r="X866" s="61" t="n"/>
      <c r="Y866" s="61" t="n"/>
      <c r="Z866" s="61" t="n"/>
      <c r="AA866" s="61" t="n"/>
      <c r="AB866" s="61" t="n"/>
      <c r="AC866" s="61" t="n"/>
      <c r="AD866" s="61" t="n"/>
      <c r="AE866" s="61" t="n"/>
      <c r="AF866" s="61" t="n"/>
      <c r="AG866" s="61" t="n"/>
      <c r="AH866" s="61" t="n"/>
    </row>
    <row r="867" ht="15.75" customHeight="1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  <c r="M867" s="61" t="n"/>
      <c r="N867" s="61" t="n"/>
      <c r="O867" s="61" t="n"/>
      <c r="P867" s="61" t="n"/>
      <c r="Q867" s="61" t="n"/>
      <c r="R867" s="61" t="n"/>
      <c r="S867" s="61" t="n"/>
      <c r="T867" s="61" t="n"/>
      <c r="U867" s="61" t="n"/>
      <c r="V867" s="61" t="n"/>
      <c r="W867" s="61" t="n"/>
      <c r="X867" s="61" t="n"/>
      <c r="Y867" s="61" t="n"/>
      <c r="Z867" s="61" t="n"/>
      <c r="AA867" s="61" t="n"/>
      <c r="AB867" s="61" t="n"/>
      <c r="AC867" s="61" t="n"/>
      <c r="AD867" s="61" t="n"/>
      <c r="AE867" s="61" t="n"/>
      <c r="AF867" s="61" t="n"/>
      <c r="AG867" s="61" t="n"/>
      <c r="AH867" s="61" t="n"/>
    </row>
    <row r="868" ht="15.75" customHeight="1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  <c r="M868" s="61" t="n"/>
      <c r="N868" s="61" t="n"/>
      <c r="O868" s="61" t="n"/>
      <c r="P868" s="61" t="n"/>
      <c r="Q868" s="61" t="n"/>
      <c r="R868" s="61" t="n"/>
      <c r="S868" s="61" t="n"/>
      <c r="T868" s="61" t="n"/>
      <c r="U868" s="61" t="n"/>
      <c r="V868" s="61" t="n"/>
      <c r="W868" s="61" t="n"/>
      <c r="X868" s="61" t="n"/>
      <c r="Y868" s="61" t="n"/>
      <c r="Z868" s="61" t="n"/>
      <c r="AA868" s="61" t="n"/>
      <c r="AB868" s="61" t="n"/>
      <c r="AC868" s="61" t="n"/>
      <c r="AD868" s="61" t="n"/>
      <c r="AE868" s="61" t="n"/>
      <c r="AF868" s="61" t="n"/>
      <c r="AG868" s="61" t="n"/>
      <c r="AH868" s="61" t="n"/>
    </row>
    <row r="869" ht="15.75" customHeight="1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  <c r="M869" s="61" t="n"/>
      <c r="N869" s="61" t="n"/>
      <c r="O869" s="61" t="n"/>
      <c r="P869" s="61" t="n"/>
      <c r="Q869" s="61" t="n"/>
      <c r="R869" s="61" t="n"/>
      <c r="S869" s="61" t="n"/>
      <c r="T869" s="61" t="n"/>
      <c r="U869" s="61" t="n"/>
      <c r="V869" s="61" t="n"/>
      <c r="W869" s="61" t="n"/>
      <c r="X869" s="61" t="n"/>
      <c r="Y869" s="61" t="n"/>
      <c r="Z869" s="61" t="n"/>
      <c r="AA869" s="61" t="n"/>
      <c r="AB869" s="61" t="n"/>
      <c r="AC869" s="61" t="n"/>
      <c r="AD869" s="61" t="n"/>
      <c r="AE869" s="61" t="n"/>
      <c r="AF869" s="61" t="n"/>
      <c r="AG869" s="61" t="n"/>
      <c r="AH869" s="61" t="n"/>
    </row>
    <row r="870" ht="15.75" customHeight="1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  <c r="M870" s="61" t="n"/>
      <c r="N870" s="61" t="n"/>
      <c r="O870" s="61" t="n"/>
      <c r="P870" s="61" t="n"/>
      <c r="Q870" s="61" t="n"/>
      <c r="R870" s="61" t="n"/>
      <c r="S870" s="61" t="n"/>
      <c r="T870" s="61" t="n"/>
      <c r="U870" s="61" t="n"/>
      <c r="V870" s="61" t="n"/>
      <c r="W870" s="61" t="n"/>
      <c r="X870" s="61" t="n"/>
      <c r="Y870" s="61" t="n"/>
      <c r="Z870" s="61" t="n"/>
      <c r="AA870" s="61" t="n"/>
      <c r="AB870" s="61" t="n"/>
      <c r="AC870" s="61" t="n"/>
      <c r="AD870" s="61" t="n"/>
      <c r="AE870" s="61" t="n"/>
      <c r="AF870" s="61" t="n"/>
      <c r="AG870" s="61" t="n"/>
      <c r="AH870" s="61" t="n"/>
    </row>
    <row r="871" ht="15.75" customHeight="1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  <c r="M871" s="61" t="n"/>
      <c r="N871" s="61" t="n"/>
      <c r="O871" s="61" t="n"/>
      <c r="P871" s="61" t="n"/>
      <c r="Q871" s="61" t="n"/>
      <c r="R871" s="61" t="n"/>
      <c r="S871" s="61" t="n"/>
      <c r="T871" s="61" t="n"/>
      <c r="U871" s="61" t="n"/>
      <c r="V871" s="61" t="n"/>
      <c r="W871" s="61" t="n"/>
      <c r="X871" s="61" t="n"/>
      <c r="Y871" s="61" t="n"/>
      <c r="Z871" s="61" t="n"/>
      <c r="AA871" s="61" t="n"/>
      <c r="AB871" s="61" t="n"/>
      <c r="AC871" s="61" t="n"/>
      <c r="AD871" s="61" t="n"/>
      <c r="AE871" s="61" t="n"/>
      <c r="AF871" s="61" t="n"/>
      <c r="AG871" s="61" t="n"/>
      <c r="AH871" s="61" t="n"/>
    </row>
    <row r="872" ht="15.75" customHeight="1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  <c r="M872" s="61" t="n"/>
      <c r="N872" s="61" t="n"/>
      <c r="O872" s="61" t="n"/>
      <c r="P872" s="61" t="n"/>
      <c r="Q872" s="61" t="n"/>
      <c r="R872" s="61" t="n"/>
      <c r="S872" s="61" t="n"/>
      <c r="T872" s="61" t="n"/>
      <c r="U872" s="61" t="n"/>
      <c r="V872" s="61" t="n"/>
      <c r="W872" s="61" t="n"/>
      <c r="X872" s="61" t="n"/>
      <c r="Y872" s="61" t="n"/>
      <c r="Z872" s="61" t="n"/>
      <c r="AA872" s="61" t="n"/>
      <c r="AB872" s="61" t="n"/>
      <c r="AC872" s="61" t="n"/>
      <c r="AD872" s="61" t="n"/>
      <c r="AE872" s="61" t="n"/>
      <c r="AF872" s="61" t="n"/>
      <c r="AG872" s="61" t="n"/>
      <c r="AH872" s="61" t="n"/>
    </row>
    <row r="873" ht="15.75" customHeight="1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  <c r="M873" s="61" t="n"/>
      <c r="N873" s="61" t="n"/>
      <c r="O873" s="61" t="n"/>
      <c r="P873" s="61" t="n"/>
      <c r="Q873" s="61" t="n"/>
      <c r="R873" s="61" t="n"/>
      <c r="S873" s="61" t="n"/>
      <c r="T873" s="61" t="n"/>
      <c r="U873" s="61" t="n"/>
      <c r="V873" s="61" t="n"/>
      <c r="W873" s="61" t="n"/>
      <c r="X873" s="61" t="n"/>
      <c r="Y873" s="61" t="n"/>
      <c r="Z873" s="61" t="n"/>
      <c r="AA873" s="61" t="n"/>
      <c r="AB873" s="61" t="n"/>
      <c r="AC873" s="61" t="n"/>
      <c r="AD873" s="61" t="n"/>
      <c r="AE873" s="61" t="n"/>
      <c r="AF873" s="61" t="n"/>
      <c r="AG873" s="61" t="n"/>
      <c r="AH873" s="61" t="n"/>
    </row>
    <row r="874" ht="15.75" customHeight="1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  <c r="M874" s="61" t="n"/>
      <c r="N874" s="61" t="n"/>
      <c r="O874" s="61" t="n"/>
      <c r="P874" s="61" t="n"/>
      <c r="Q874" s="61" t="n"/>
      <c r="R874" s="61" t="n"/>
      <c r="S874" s="61" t="n"/>
      <c r="T874" s="61" t="n"/>
      <c r="U874" s="61" t="n"/>
      <c r="V874" s="61" t="n"/>
      <c r="W874" s="61" t="n"/>
      <c r="X874" s="61" t="n"/>
      <c r="Y874" s="61" t="n"/>
      <c r="Z874" s="61" t="n"/>
      <c r="AA874" s="61" t="n"/>
      <c r="AB874" s="61" t="n"/>
      <c r="AC874" s="61" t="n"/>
      <c r="AD874" s="61" t="n"/>
      <c r="AE874" s="61" t="n"/>
      <c r="AF874" s="61" t="n"/>
      <c r="AG874" s="61" t="n"/>
      <c r="AH874" s="61" t="n"/>
    </row>
    <row r="875" ht="15.75" customHeight="1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  <c r="M875" s="61" t="n"/>
      <c r="N875" s="61" t="n"/>
      <c r="O875" s="61" t="n"/>
      <c r="P875" s="61" t="n"/>
      <c r="Q875" s="61" t="n"/>
      <c r="R875" s="61" t="n"/>
      <c r="S875" s="61" t="n"/>
      <c r="T875" s="61" t="n"/>
      <c r="U875" s="61" t="n"/>
      <c r="V875" s="61" t="n"/>
      <c r="W875" s="61" t="n"/>
      <c r="X875" s="61" t="n"/>
      <c r="Y875" s="61" t="n"/>
      <c r="Z875" s="61" t="n"/>
      <c r="AA875" s="61" t="n"/>
      <c r="AB875" s="61" t="n"/>
      <c r="AC875" s="61" t="n"/>
      <c r="AD875" s="61" t="n"/>
      <c r="AE875" s="61" t="n"/>
      <c r="AF875" s="61" t="n"/>
      <c r="AG875" s="61" t="n"/>
      <c r="AH875" s="61" t="n"/>
    </row>
    <row r="876" ht="15.75" customHeight="1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  <c r="M876" s="61" t="n"/>
      <c r="N876" s="61" t="n"/>
      <c r="O876" s="61" t="n"/>
      <c r="P876" s="61" t="n"/>
      <c r="Q876" s="61" t="n"/>
      <c r="R876" s="61" t="n"/>
      <c r="S876" s="61" t="n"/>
      <c r="T876" s="61" t="n"/>
      <c r="U876" s="61" t="n"/>
      <c r="V876" s="61" t="n"/>
      <c r="W876" s="61" t="n"/>
      <c r="X876" s="61" t="n"/>
      <c r="Y876" s="61" t="n"/>
      <c r="Z876" s="61" t="n"/>
      <c r="AA876" s="61" t="n"/>
      <c r="AB876" s="61" t="n"/>
      <c r="AC876" s="61" t="n"/>
      <c r="AD876" s="61" t="n"/>
      <c r="AE876" s="61" t="n"/>
      <c r="AF876" s="61" t="n"/>
      <c r="AG876" s="61" t="n"/>
      <c r="AH876" s="61" t="n"/>
    </row>
    <row r="877" ht="15.75" customHeight="1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  <c r="M877" s="61" t="n"/>
      <c r="N877" s="61" t="n"/>
      <c r="O877" s="61" t="n"/>
      <c r="P877" s="61" t="n"/>
      <c r="Q877" s="61" t="n"/>
      <c r="R877" s="61" t="n"/>
      <c r="S877" s="61" t="n"/>
      <c r="T877" s="61" t="n"/>
      <c r="U877" s="61" t="n"/>
      <c r="V877" s="61" t="n"/>
      <c r="W877" s="61" t="n"/>
      <c r="X877" s="61" t="n"/>
      <c r="Y877" s="61" t="n"/>
      <c r="Z877" s="61" t="n"/>
      <c r="AA877" s="61" t="n"/>
      <c r="AB877" s="61" t="n"/>
      <c r="AC877" s="61" t="n"/>
      <c r="AD877" s="61" t="n"/>
      <c r="AE877" s="61" t="n"/>
      <c r="AF877" s="61" t="n"/>
      <c r="AG877" s="61" t="n"/>
      <c r="AH877" s="61" t="n"/>
    </row>
    <row r="878" ht="15.75" customHeight="1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  <c r="M878" s="61" t="n"/>
      <c r="N878" s="61" t="n"/>
      <c r="O878" s="61" t="n"/>
      <c r="P878" s="61" t="n"/>
      <c r="Q878" s="61" t="n"/>
      <c r="R878" s="61" t="n"/>
      <c r="S878" s="61" t="n"/>
      <c r="T878" s="61" t="n"/>
      <c r="U878" s="61" t="n"/>
      <c r="V878" s="61" t="n"/>
      <c r="W878" s="61" t="n"/>
      <c r="X878" s="61" t="n"/>
      <c r="Y878" s="61" t="n"/>
      <c r="Z878" s="61" t="n"/>
      <c r="AA878" s="61" t="n"/>
      <c r="AB878" s="61" t="n"/>
      <c r="AC878" s="61" t="n"/>
      <c r="AD878" s="61" t="n"/>
      <c r="AE878" s="61" t="n"/>
      <c r="AF878" s="61" t="n"/>
      <c r="AG878" s="61" t="n"/>
      <c r="AH878" s="61" t="n"/>
    </row>
    <row r="879" ht="15.75" customHeight="1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  <c r="M879" s="61" t="n"/>
      <c r="N879" s="61" t="n"/>
      <c r="O879" s="61" t="n"/>
      <c r="P879" s="61" t="n"/>
      <c r="Q879" s="61" t="n"/>
      <c r="R879" s="61" t="n"/>
      <c r="S879" s="61" t="n"/>
      <c r="T879" s="61" t="n"/>
      <c r="U879" s="61" t="n"/>
      <c r="V879" s="61" t="n"/>
      <c r="W879" s="61" t="n"/>
      <c r="X879" s="61" t="n"/>
      <c r="Y879" s="61" t="n"/>
      <c r="Z879" s="61" t="n"/>
      <c r="AA879" s="61" t="n"/>
      <c r="AB879" s="61" t="n"/>
      <c r="AC879" s="61" t="n"/>
      <c r="AD879" s="61" t="n"/>
      <c r="AE879" s="61" t="n"/>
      <c r="AF879" s="61" t="n"/>
      <c r="AG879" s="61" t="n"/>
      <c r="AH879" s="61" t="n"/>
    </row>
    <row r="880" ht="15.75" customHeight="1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  <c r="M880" s="61" t="n"/>
      <c r="N880" s="61" t="n"/>
      <c r="O880" s="61" t="n"/>
      <c r="P880" s="61" t="n"/>
      <c r="Q880" s="61" t="n"/>
      <c r="R880" s="61" t="n"/>
      <c r="S880" s="61" t="n"/>
      <c r="T880" s="61" t="n"/>
      <c r="U880" s="61" t="n"/>
      <c r="V880" s="61" t="n"/>
      <c r="W880" s="61" t="n"/>
      <c r="X880" s="61" t="n"/>
      <c r="Y880" s="61" t="n"/>
      <c r="Z880" s="61" t="n"/>
      <c r="AA880" s="61" t="n"/>
      <c r="AB880" s="61" t="n"/>
      <c r="AC880" s="61" t="n"/>
      <c r="AD880" s="61" t="n"/>
      <c r="AE880" s="61" t="n"/>
      <c r="AF880" s="61" t="n"/>
      <c r="AG880" s="61" t="n"/>
      <c r="AH880" s="61" t="n"/>
    </row>
    <row r="881" ht="15.75" customHeight="1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  <c r="M881" s="61" t="n"/>
      <c r="N881" s="61" t="n"/>
      <c r="O881" s="61" t="n"/>
      <c r="P881" s="61" t="n"/>
      <c r="Q881" s="61" t="n"/>
      <c r="R881" s="61" t="n"/>
      <c r="S881" s="61" t="n"/>
      <c r="T881" s="61" t="n"/>
      <c r="U881" s="61" t="n"/>
      <c r="V881" s="61" t="n"/>
      <c r="W881" s="61" t="n"/>
      <c r="X881" s="61" t="n"/>
      <c r="Y881" s="61" t="n"/>
      <c r="Z881" s="61" t="n"/>
      <c r="AA881" s="61" t="n"/>
      <c r="AB881" s="61" t="n"/>
      <c r="AC881" s="61" t="n"/>
      <c r="AD881" s="61" t="n"/>
      <c r="AE881" s="61" t="n"/>
      <c r="AF881" s="61" t="n"/>
      <c r="AG881" s="61" t="n"/>
      <c r="AH881" s="61" t="n"/>
    </row>
    <row r="882" ht="15.75" customHeight="1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  <c r="M882" s="61" t="n"/>
      <c r="N882" s="61" t="n"/>
      <c r="O882" s="61" t="n"/>
      <c r="P882" s="61" t="n"/>
      <c r="Q882" s="61" t="n"/>
      <c r="R882" s="61" t="n"/>
      <c r="S882" s="61" t="n"/>
      <c r="T882" s="61" t="n"/>
      <c r="U882" s="61" t="n"/>
      <c r="V882" s="61" t="n"/>
      <c r="W882" s="61" t="n"/>
      <c r="X882" s="61" t="n"/>
      <c r="Y882" s="61" t="n"/>
      <c r="Z882" s="61" t="n"/>
      <c r="AA882" s="61" t="n"/>
      <c r="AB882" s="61" t="n"/>
      <c r="AC882" s="61" t="n"/>
      <c r="AD882" s="61" t="n"/>
      <c r="AE882" s="61" t="n"/>
      <c r="AF882" s="61" t="n"/>
      <c r="AG882" s="61" t="n"/>
      <c r="AH882" s="61" t="n"/>
    </row>
    <row r="883" ht="15.75" customHeight="1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  <c r="M883" s="61" t="n"/>
      <c r="N883" s="61" t="n"/>
      <c r="O883" s="61" t="n"/>
      <c r="P883" s="61" t="n"/>
      <c r="Q883" s="61" t="n"/>
      <c r="R883" s="61" t="n"/>
      <c r="S883" s="61" t="n"/>
      <c r="T883" s="61" t="n"/>
      <c r="U883" s="61" t="n"/>
      <c r="V883" s="61" t="n"/>
      <c r="W883" s="61" t="n"/>
      <c r="X883" s="61" t="n"/>
      <c r="Y883" s="61" t="n"/>
      <c r="Z883" s="61" t="n"/>
      <c r="AA883" s="61" t="n"/>
      <c r="AB883" s="61" t="n"/>
      <c r="AC883" s="61" t="n"/>
      <c r="AD883" s="61" t="n"/>
      <c r="AE883" s="61" t="n"/>
      <c r="AF883" s="61" t="n"/>
      <c r="AG883" s="61" t="n"/>
      <c r="AH883" s="61" t="n"/>
    </row>
    <row r="884" ht="15.75" customHeight="1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  <c r="M884" s="61" t="n"/>
      <c r="N884" s="61" t="n"/>
      <c r="O884" s="61" t="n"/>
      <c r="P884" s="61" t="n"/>
      <c r="Q884" s="61" t="n"/>
      <c r="R884" s="61" t="n"/>
      <c r="S884" s="61" t="n"/>
      <c r="T884" s="61" t="n"/>
      <c r="U884" s="61" t="n"/>
      <c r="V884" s="61" t="n"/>
      <c r="W884" s="61" t="n"/>
      <c r="X884" s="61" t="n"/>
      <c r="Y884" s="61" t="n"/>
      <c r="Z884" s="61" t="n"/>
      <c r="AA884" s="61" t="n"/>
      <c r="AB884" s="61" t="n"/>
      <c r="AC884" s="61" t="n"/>
      <c r="AD884" s="61" t="n"/>
      <c r="AE884" s="61" t="n"/>
      <c r="AF884" s="61" t="n"/>
      <c r="AG884" s="61" t="n"/>
      <c r="AH884" s="61" t="n"/>
    </row>
    <row r="885" ht="15.75" customHeight="1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  <c r="M885" s="61" t="n"/>
      <c r="N885" s="61" t="n"/>
      <c r="O885" s="61" t="n"/>
      <c r="P885" s="61" t="n"/>
      <c r="Q885" s="61" t="n"/>
      <c r="R885" s="61" t="n"/>
      <c r="S885" s="61" t="n"/>
      <c r="T885" s="61" t="n"/>
      <c r="U885" s="61" t="n"/>
      <c r="V885" s="61" t="n"/>
      <c r="W885" s="61" t="n"/>
      <c r="X885" s="61" t="n"/>
      <c r="Y885" s="61" t="n"/>
      <c r="Z885" s="61" t="n"/>
      <c r="AA885" s="61" t="n"/>
      <c r="AB885" s="61" t="n"/>
      <c r="AC885" s="61" t="n"/>
      <c r="AD885" s="61" t="n"/>
      <c r="AE885" s="61" t="n"/>
      <c r="AF885" s="61" t="n"/>
      <c r="AG885" s="61" t="n"/>
      <c r="AH885" s="61" t="n"/>
    </row>
    <row r="886" ht="15.75" customHeight="1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  <c r="M886" s="61" t="n"/>
      <c r="N886" s="61" t="n"/>
      <c r="O886" s="61" t="n"/>
      <c r="P886" s="61" t="n"/>
      <c r="Q886" s="61" t="n"/>
      <c r="R886" s="61" t="n"/>
      <c r="S886" s="61" t="n"/>
      <c r="T886" s="61" t="n"/>
      <c r="U886" s="61" t="n"/>
      <c r="V886" s="61" t="n"/>
      <c r="W886" s="61" t="n"/>
      <c r="X886" s="61" t="n"/>
      <c r="Y886" s="61" t="n"/>
      <c r="Z886" s="61" t="n"/>
      <c r="AA886" s="61" t="n"/>
      <c r="AB886" s="61" t="n"/>
      <c r="AC886" s="61" t="n"/>
      <c r="AD886" s="61" t="n"/>
      <c r="AE886" s="61" t="n"/>
      <c r="AF886" s="61" t="n"/>
      <c r="AG886" s="61" t="n"/>
      <c r="AH886" s="61" t="n"/>
    </row>
    <row r="887" ht="15.75" customHeight="1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  <c r="M887" s="61" t="n"/>
      <c r="N887" s="61" t="n"/>
      <c r="O887" s="61" t="n"/>
      <c r="P887" s="61" t="n"/>
      <c r="Q887" s="61" t="n"/>
      <c r="R887" s="61" t="n"/>
      <c r="S887" s="61" t="n"/>
      <c r="T887" s="61" t="n"/>
      <c r="U887" s="61" t="n"/>
      <c r="V887" s="61" t="n"/>
      <c r="W887" s="61" t="n"/>
      <c r="X887" s="61" t="n"/>
      <c r="Y887" s="61" t="n"/>
      <c r="Z887" s="61" t="n"/>
      <c r="AA887" s="61" t="n"/>
      <c r="AB887" s="61" t="n"/>
      <c r="AC887" s="61" t="n"/>
      <c r="AD887" s="61" t="n"/>
      <c r="AE887" s="61" t="n"/>
      <c r="AF887" s="61" t="n"/>
      <c r="AG887" s="61" t="n"/>
      <c r="AH887" s="61" t="n"/>
    </row>
    <row r="888" ht="15.75" customHeight="1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  <c r="M888" s="61" t="n"/>
      <c r="N888" s="61" t="n"/>
      <c r="O888" s="61" t="n"/>
      <c r="P888" s="61" t="n"/>
      <c r="Q888" s="61" t="n"/>
      <c r="R888" s="61" t="n"/>
      <c r="S888" s="61" t="n"/>
      <c r="T888" s="61" t="n"/>
      <c r="U888" s="61" t="n"/>
      <c r="V888" s="61" t="n"/>
      <c r="W888" s="61" t="n"/>
      <c r="X888" s="61" t="n"/>
      <c r="Y888" s="61" t="n"/>
      <c r="Z888" s="61" t="n"/>
      <c r="AA888" s="61" t="n"/>
      <c r="AB888" s="61" t="n"/>
      <c r="AC888" s="61" t="n"/>
      <c r="AD888" s="61" t="n"/>
      <c r="AE888" s="61" t="n"/>
      <c r="AF888" s="61" t="n"/>
      <c r="AG888" s="61" t="n"/>
      <c r="AH888" s="61" t="n"/>
    </row>
    <row r="889" ht="15.75" customHeight="1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  <c r="M889" s="61" t="n"/>
      <c r="N889" s="61" t="n"/>
      <c r="O889" s="61" t="n"/>
      <c r="P889" s="61" t="n"/>
      <c r="Q889" s="61" t="n"/>
      <c r="R889" s="61" t="n"/>
      <c r="S889" s="61" t="n"/>
      <c r="T889" s="61" t="n"/>
      <c r="U889" s="61" t="n"/>
      <c r="V889" s="61" t="n"/>
      <c r="W889" s="61" t="n"/>
      <c r="X889" s="61" t="n"/>
      <c r="Y889" s="61" t="n"/>
      <c r="Z889" s="61" t="n"/>
      <c r="AA889" s="61" t="n"/>
      <c r="AB889" s="61" t="n"/>
      <c r="AC889" s="61" t="n"/>
      <c r="AD889" s="61" t="n"/>
      <c r="AE889" s="61" t="n"/>
      <c r="AF889" s="61" t="n"/>
      <c r="AG889" s="61" t="n"/>
      <c r="AH889" s="61" t="n"/>
    </row>
    <row r="890" ht="15.75" customHeight="1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  <c r="M890" s="61" t="n"/>
      <c r="N890" s="61" t="n"/>
      <c r="O890" s="61" t="n"/>
      <c r="P890" s="61" t="n"/>
      <c r="Q890" s="61" t="n"/>
      <c r="R890" s="61" t="n"/>
      <c r="S890" s="61" t="n"/>
      <c r="T890" s="61" t="n"/>
      <c r="U890" s="61" t="n"/>
      <c r="V890" s="61" t="n"/>
      <c r="W890" s="61" t="n"/>
      <c r="X890" s="61" t="n"/>
      <c r="Y890" s="61" t="n"/>
      <c r="Z890" s="61" t="n"/>
      <c r="AA890" s="61" t="n"/>
      <c r="AB890" s="61" t="n"/>
      <c r="AC890" s="61" t="n"/>
      <c r="AD890" s="61" t="n"/>
      <c r="AE890" s="61" t="n"/>
      <c r="AF890" s="61" t="n"/>
      <c r="AG890" s="61" t="n"/>
      <c r="AH890" s="61" t="n"/>
    </row>
    <row r="891" ht="15.75" customHeight="1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  <c r="M891" s="61" t="n"/>
      <c r="N891" s="61" t="n"/>
      <c r="O891" s="61" t="n"/>
      <c r="P891" s="61" t="n"/>
      <c r="Q891" s="61" t="n"/>
      <c r="R891" s="61" t="n"/>
      <c r="S891" s="61" t="n"/>
      <c r="T891" s="61" t="n"/>
      <c r="U891" s="61" t="n"/>
      <c r="V891" s="61" t="n"/>
      <c r="W891" s="61" t="n"/>
      <c r="X891" s="61" t="n"/>
      <c r="Y891" s="61" t="n"/>
      <c r="Z891" s="61" t="n"/>
      <c r="AA891" s="61" t="n"/>
      <c r="AB891" s="61" t="n"/>
      <c r="AC891" s="61" t="n"/>
      <c r="AD891" s="61" t="n"/>
      <c r="AE891" s="61" t="n"/>
      <c r="AF891" s="61" t="n"/>
      <c r="AG891" s="61" t="n"/>
      <c r="AH891" s="61" t="n"/>
    </row>
    <row r="892" ht="15.75" customHeight="1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  <c r="M892" s="61" t="n"/>
      <c r="N892" s="61" t="n"/>
      <c r="O892" s="61" t="n"/>
      <c r="P892" s="61" t="n"/>
      <c r="Q892" s="61" t="n"/>
      <c r="R892" s="61" t="n"/>
      <c r="S892" s="61" t="n"/>
      <c r="T892" s="61" t="n"/>
      <c r="U892" s="61" t="n"/>
      <c r="V892" s="61" t="n"/>
      <c r="W892" s="61" t="n"/>
      <c r="X892" s="61" t="n"/>
      <c r="Y892" s="61" t="n"/>
      <c r="Z892" s="61" t="n"/>
      <c r="AA892" s="61" t="n"/>
      <c r="AB892" s="61" t="n"/>
      <c r="AC892" s="61" t="n"/>
      <c r="AD892" s="61" t="n"/>
      <c r="AE892" s="61" t="n"/>
      <c r="AF892" s="61" t="n"/>
      <c r="AG892" s="61" t="n"/>
      <c r="AH892" s="61" t="n"/>
    </row>
    <row r="893" ht="15.75" customHeight="1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  <c r="M893" s="61" t="n"/>
      <c r="N893" s="61" t="n"/>
      <c r="O893" s="61" t="n"/>
      <c r="P893" s="61" t="n"/>
      <c r="Q893" s="61" t="n"/>
      <c r="R893" s="61" t="n"/>
      <c r="S893" s="61" t="n"/>
      <c r="T893" s="61" t="n"/>
      <c r="U893" s="61" t="n"/>
      <c r="V893" s="61" t="n"/>
      <c r="W893" s="61" t="n"/>
      <c r="X893" s="61" t="n"/>
      <c r="Y893" s="61" t="n"/>
      <c r="Z893" s="61" t="n"/>
      <c r="AA893" s="61" t="n"/>
      <c r="AB893" s="61" t="n"/>
      <c r="AC893" s="61" t="n"/>
      <c r="AD893" s="61" t="n"/>
      <c r="AE893" s="61" t="n"/>
      <c r="AF893" s="61" t="n"/>
      <c r="AG893" s="61" t="n"/>
      <c r="AH893" s="61" t="n"/>
    </row>
    <row r="894" ht="15.75" customHeight="1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  <c r="M894" s="61" t="n"/>
      <c r="N894" s="61" t="n"/>
      <c r="O894" s="61" t="n"/>
      <c r="P894" s="61" t="n"/>
      <c r="Q894" s="61" t="n"/>
      <c r="R894" s="61" t="n"/>
      <c r="S894" s="61" t="n"/>
      <c r="T894" s="61" t="n"/>
      <c r="U894" s="61" t="n"/>
      <c r="V894" s="61" t="n"/>
      <c r="W894" s="61" t="n"/>
      <c r="X894" s="61" t="n"/>
      <c r="Y894" s="61" t="n"/>
      <c r="Z894" s="61" t="n"/>
      <c r="AA894" s="61" t="n"/>
      <c r="AB894" s="61" t="n"/>
      <c r="AC894" s="61" t="n"/>
      <c r="AD894" s="61" t="n"/>
      <c r="AE894" s="61" t="n"/>
      <c r="AF894" s="61" t="n"/>
      <c r="AG894" s="61" t="n"/>
      <c r="AH894" s="61" t="n"/>
    </row>
    <row r="895" ht="15.75" customHeight="1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  <c r="M895" s="61" t="n"/>
      <c r="N895" s="61" t="n"/>
      <c r="O895" s="61" t="n"/>
      <c r="P895" s="61" t="n"/>
      <c r="Q895" s="61" t="n"/>
      <c r="R895" s="61" t="n"/>
      <c r="S895" s="61" t="n"/>
      <c r="T895" s="61" t="n"/>
      <c r="U895" s="61" t="n"/>
      <c r="V895" s="61" t="n"/>
      <c r="W895" s="61" t="n"/>
      <c r="X895" s="61" t="n"/>
      <c r="Y895" s="61" t="n"/>
      <c r="Z895" s="61" t="n"/>
      <c r="AA895" s="61" t="n"/>
      <c r="AB895" s="61" t="n"/>
      <c r="AC895" s="61" t="n"/>
      <c r="AD895" s="61" t="n"/>
      <c r="AE895" s="61" t="n"/>
      <c r="AF895" s="61" t="n"/>
      <c r="AG895" s="61" t="n"/>
      <c r="AH895" s="61" t="n"/>
    </row>
    <row r="896" ht="15.75" customHeight="1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  <c r="M896" s="61" t="n"/>
      <c r="N896" s="61" t="n"/>
      <c r="O896" s="61" t="n"/>
      <c r="P896" s="61" t="n"/>
      <c r="Q896" s="61" t="n"/>
      <c r="R896" s="61" t="n"/>
      <c r="S896" s="61" t="n"/>
      <c r="T896" s="61" t="n"/>
      <c r="U896" s="61" t="n"/>
      <c r="V896" s="61" t="n"/>
      <c r="W896" s="61" t="n"/>
      <c r="X896" s="61" t="n"/>
      <c r="Y896" s="61" t="n"/>
      <c r="Z896" s="61" t="n"/>
      <c r="AA896" s="61" t="n"/>
      <c r="AB896" s="61" t="n"/>
      <c r="AC896" s="61" t="n"/>
      <c r="AD896" s="61" t="n"/>
      <c r="AE896" s="61" t="n"/>
      <c r="AF896" s="61" t="n"/>
      <c r="AG896" s="61" t="n"/>
      <c r="AH896" s="61" t="n"/>
    </row>
    <row r="897" ht="15.75" customHeight="1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  <c r="M897" s="61" t="n"/>
      <c r="N897" s="61" t="n"/>
      <c r="O897" s="61" t="n"/>
      <c r="P897" s="61" t="n"/>
      <c r="Q897" s="61" t="n"/>
      <c r="R897" s="61" t="n"/>
      <c r="S897" s="61" t="n"/>
      <c r="T897" s="61" t="n"/>
      <c r="U897" s="61" t="n"/>
      <c r="V897" s="61" t="n"/>
      <c r="W897" s="61" t="n"/>
      <c r="X897" s="61" t="n"/>
      <c r="Y897" s="61" t="n"/>
      <c r="Z897" s="61" t="n"/>
      <c r="AA897" s="61" t="n"/>
      <c r="AB897" s="61" t="n"/>
      <c r="AC897" s="61" t="n"/>
      <c r="AD897" s="61" t="n"/>
      <c r="AE897" s="61" t="n"/>
      <c r="AF897" s="61" t="n"/>
      <c r="AG897" s="61" t="n"/>
      <c r="AH897" s="61" t="n"/>
    </row>
    <row r="898" ht="15.75" customHeight="1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  <c r="M898" s="61" t="n"/>
      <c r="N898" s="61" t="n"/>
      <c r="O898" s="61" t="n"/>
      <c r="P898" s="61" t="n"/>
      <c r="Q898" s="61" t="n"/>
      <c r="R898" s="61" t="n"/>
      <c r="S898" s="61" t="n"/>
      <c r="T898" s="61" t="n"/>
      <c r="U898" s="61" t="n"/>
      <c r="V898" s="61" t="n"/>
      <c r="W898" s="61" t="n"/>
      <c r="X898" s="61" t="n"/>
      <c r="Y898" s="61" t="n"/>
      <c r="Z898" s="61" t="n"/>
      <c r="AA898" s="61" t="n"/>
      <c r="AB898" s="61" t="n"/>
      <c r="AC898" s="61" t="n"/>
      <c r="AD898" s="61" t="n"/>
      <c r="AE898" s="61" t="n"/>
      <c r="AF898" s="61" t="n"/>
      <c r="AG898" s="61" t="n"/>
      <c r="AH898" s="61" t="n"/>
    </row>
    <row r="899" ht="15.75" customHeight="1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  <c r="M899" s="61" t="n"/>
      <c r="N899" s="61" t="n"/>
      <c r="O899" s="61" t="n"/>
      <c r="P899" s="61" t="n"/>
      <c r="Q899" s="61" t="n"/>
      <c r="R899" s="61" t="n"/>
      <c r="S899" s="61" t="n"/>
      <c r="T899" s="61" t="n"/>
      <c r="U899" s="61" t="n"/>
      <c r="V899" s="61" t="n"/>
      <c r="W899" s="61" t="n"/>
      <c r="X899" s="61" t="n"/>
      <c r="Y899" s="61" t="n"/>
      <c r="Z899" s="61" t="n"/>
      <c r="AA899" s="61" t="n"/>
      <c r="AB899" s="61" t="n"/>
      <c r="AC899" s="61" t="n"/>
      <c r="AD899" s="61" t="n"/>
      <c r="AE899" s="61" t="n"/>
      <c r="AF899" s="61" t="n"/>
      <c r="AG899" s="61" t="n"/>
      <c r="AH899" s="61" t="n"/>
    </row>
    <row r="900" ht="15.75" customHeight="1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  <c r="M900" s="61" t="n"/>
      <c r="N900" s="61" t="n"/>
      <c r="O900" s="61" t="n"/>
      <c r="P900" s="61" t="n"/>
      <c r="Q900" s="61" t="n"/>
      <c r="R900" s="61" t="n"/>
      <c r="S900" s="61" t="n"/>
      <c r="T900" s="61" t="n"/>
      <c r="U900" s="61" t="n"/>
      <c r="V900" s="61" t="n"/>
      <c r="W900" s="61" t="n"/>
      <c r="X900" s="61" t="n"/>
      <c r="Y900" s="61" t="n"/>
      <c r="Z900" s="61" t="n"/>
      <c r="AA900" s="61" t="n"/>
      <c r="AB900" s="61" t="n"/>
      <c r="AC900" s="61" t="n"/>
      <c r="AD900" s="61" t="n"/>
      <c r="AE900" s="61" t="n"/>
      <c r="AF900" s="61" t="n"/>
      <c r="AG900" s="61" t="n"/>
      <c r="AH900" s="61" t="n"/>
    </row>
    <row r="901" ht="15.75" customHeight="1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  <c r="M901" s="61" t="n"/>
      <c r="N901" s="61" t="n"/>
      <c r="O901" s="61" t="n"/>
      <c r="P901" s="61" t="n"/>
      <c r="Q901" s="61" t="n"/>
      <c r="R901" s="61" t="n"/>
      <c r="S901" s="61" t="n"/>
      <c r="T901" s="61" t="n"/>
      <c r="U901" s="61" t="n"/>
      <c r="V901" s="61" t="n"/>
      <c r="W901" s="61" t="n"/>
      <c r="X901" s="61" t="n"/>
      <c r="Y901" s="61" t="n"/>
      <c r="Z901" s="61" t="n"/>
      <c r="AA901" s="61" t="n"/>
      <c r="AB901" s="61" t="n"/>
      <c r="AC901" s="61" t="n"/>
      <c r="AD901" s="61" t="n"/>
      <c r="AE901" s="61" t="n"/>
      <c r="AF901" s="61" t="n"/>
      <c r="AG901" s="61" t="n"/>
      <c r="AH901" s="61" t="n"/>
    </row>
    <row r="902" ht="15.75" customHeight="1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  <c r="M902" s="61" t="n"/>
      <c r="N902" s="61" t="n"/>
      <c r="O902" s="61" t="n"/>
      <c r="P902" s="61" t="n"/>
      <c r="Q902" s="61" t="n"/>
      <c r="R902" s="61" t="n"/>
      <c r="S902" s="61" t="n"/>
      <c r="T902" s="61" t="n"/>
      <c r="U902" s="61" t="n"/>
      <c r="V902" s="61" t="n"/>
      <c r="W902" s="61" t="n"/>
      <c r="X902" s="61" t="n"/>
      <c r="Y902" s="61" t="n"/>
      <c r="Z902" s="61" t="n"/>
      <c r="AA902" s="61" t="n"/>
      <c r="AB902" s="61" t="n"/>
      <c r="AC902" s="61" t="n"/>
      <c r="AD902" s="61" t="n"/>
      <c r="AE902" s="61" t="n"/>
      <c r="AF902" s="61" t="n"/>
      <c r="AG902" s="61" t="n"/>
      <c r="AH902" s="61" t="n"/>
    </row>
    <row r="903" ht="15.75" customHeight="1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  <c r="M903" s="61" t="n"/>
      <c r="N903" s="61" t="n"/>
      <c r="O903" s="61" t="n"/>
      <c r="P903" s="61" t="n"/>
      <c r="Q903" s="61" t="n"/>
      <c r="R903" s="61" t="n"/>
      <c r="S903" s="61" t="n"/>
      <c r="T903" s="61" t="n"/>
      <c r="U903" s="61" t="n"/>
      <c r="V903" s="61" t="n"/>
      <c r="W903" s="61" t="n"/>
      <c r="X903" s="61" t="n"/>
      <c r="Y903" s="61" t="n"/>
      <c r="Z903" s="61" t="n"/>
      <c r="AA903" s="61" t="n"/>
      <c r="AB903" s="61" t="n"/>
      <c r="AC903" s="61" t="n"/>
      <c r="AD903" s="61" t="n"/>
      <c r="AE903" s="61" t="n"/>
      <c r="AF903" s="61" t="n"/>
      <c r="AG903" s="61" t="n"/>
      <c r="AH903" s="61" t="n"/>
    </row>
    <row r="904" ht="15.75" customHeight="1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  <c r="M904" s="61" t="n"/>
      <c r="N904" s="61" t="n"/>
      <c r="O904" s="61" t="n"/>
      <c r="P904" s="61" t="n"/>
      <c r="Q904" s="61" t="n"/>
      <c r="R904" s="61" t="n"/>
      <c r="S904" s="61" t="n"/>
      <c r="T904" s="61" t="n"/>
      <c r="U904" s="61" t="n"/>
      <c r="V904" s="61" t="n"/>
      <c r="W904" s="61" t="n"/>
      <c r="X904" s="61" t="n"/>
      <c r="Y904" s="61" t="n"/>
      <c r="Z904" s="61" t="n"/>
      <c r="AA904" s="61" t="n"/>
      <c r="AB904" s="61" t="n"/>
      <c r="AC904" s="61" t="n"/>
      <c r="AD904" s="61" t="n"/>
      <c r="AE904" s="61" t="n"/>
      <c r="AF904" s="61" t="n"/>
      <c r="AG904" s="61" t="n"/>
      <c r="AH904" s="61" t="n"/>
    </row>
    <row r="905" ht="15.75" customHeight="1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  <c r="M905" s="61" t="n"/>
      <c r="N905" s="61" t="n"/>
      <c r="O905" s="61" t="n"/>
      <c r="P905" s="61" t="n"/>
      <c r="Q905" s="61" t="n"/>
      <c r="R905" s="61" t="n"/>
      <c r="S905" s="61" t="n"/>
      <c r="T905" s="61" t="n"/>
      <c r="U905" s="61" t="n"/>
      <c r="V905" s="61" t="n"/>
      <c r="W905" s="61" t="n"/>
      <c r="X905" s="61" t="n"/>
      <c r="Y905" s="61" t="n"/>
      <c r="Z905" s="61" t="n"/>
      <c r="AA905" s="61" t="n"/>
      <c r="AB905" s="61" t="n"/>
      <c r="AC905" s="61" t="n"/>
      <c r="AD905" s="61" t="n"/>
      <c r="AE905" s="61" t="n"/>
      <c r="AF905" s="61" t="n"/>
      <c r="AG905" s="61" t="n"/>
      <c r="AH905" s="61" t="n"/>
    </row>
    <row r="906" ht="15.75" customHeight="1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  <c r="M906" s="61" t="n"/>
      <c r="N906" s="61" t="n"/>
      <c r="O906" s="61" t="n"/>
      <c r="P906" s="61" t="n"/>
      <c r="Q906" s="61" t="n"/>
      <c r="R906" s="61" t="n"/>
      <c r="S906" s="61" t="n"/>
      <c r="T906" s="61" t="n"/>
      <c r="U906" s="61" t="n"/>
      <c r="V906" s="61" t="n"/>
      <c r="W906" s="61" t="n"/>
      <c r="X906" s="61" t="n"/>
      <c r="Y906" s="61" t="n"/>
      <c r="Z906" s="61" t="n"/>
      <c r="AA906" s="61" t="n"/>
      <c r="AB906" s="61" t="n"/>
      <c r="AC906" s="61" t="n"/>
      <c r="AD906" s="61" t="n"/>
      <c r="AE906" s="61" t="n"/>
      <c r="AF906" s="61" t="n"/>
      <c r="AG906" s="61" t="n"/>
      <c r="AH906" s="61" t="n"/>
    </row>
    <row r="907" ht="15.75" customHeight="1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  <c r="M907" s="61" t="n"/>
      <c r="N907" s="61" t="n"/>
      <c r="O907" s="61" t="n"/>
      <c r="P907" s="61" t="n"/>
      <c r="Q907" s="61" t="n"/>
      <c r="R907" s="61" t="n"/>
      <c r="S907" s="61" t="n"/>
      <c r="T907" s="61" t="n"/>
      <c r="U907" s="61" t="n"/>
      <c r="V907" s="61" t="n"/>
      <c r="W907" s="61" t="n"/>
      <c r="X907" s="61" t="n"/>
      <c r="Y907" s="61" t="n"/>
      <c r="Z907" s="61" t="n"/>
      <c r="AA907" s="61" t="n"/>
      <c r="AB907" s="61" t="n"/>
      <c r="AC907" s="61" t="n"/>
      <c r="AD907" s="61" t="n"/>
      <c r="AE907" s="61" t="n"/>
      <c r="AF907" s="61" t="n"/>
      <c r="AG907" s="61" t="n"/>
      <c r="AH907" s="61" t="n"/>
    </row>
    <row r="908" ht="15.75" customHeight="1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  <c r="M908" s="61" t="n"/>
      <c r="N908" s="61" t="n"/>
      <c r="O908" s="61" t="n"/>
      <c r="P908" s="61" t="n"/>
      <c r="Q908" s="61" t="n"/>
      <c r="R908" s="61" t="n"/>
      <c r="S908" s="61" t="n"/>
      <c r="T908" s="61" t="n"/>
      <c r="U908" s="61" t="n"/>
      <c r="V908" s="61" t="n"/>
      <c r="W908" s="61" t="n"/>
      <c r="X908" s="61" t="n"/>
      <c r="Y908" s="61" t="n"/>
      <c r="Z908" s="61" t="n"/>
      <c r="AA908" s="61" t="n"/>
      <c r="AB908" s="61" t="n"/>
      <c r="AC908" s="61" t="n"/>
      <c r="AD908" s="61" t="n"/>
      <c r="AE908" s="61" t="n"/>
      <c r="AF908" s="61" t="n"/>
      <c r="AG908" s="61" t="n"/>
      <c r="AH908" s="61" t="n"/>
    </row>
    <row r="909" ht="15.75" customHeight="1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  <c r="M909" s="61" t="n"/>
      <c r="N909" s="61" t="n"/>
      <c r="O909" s="61" t="n"/>
      <c r="P909" s="61" t="n"/>
      <c r="Q909" s="61" t="n"/>
      <c r="R909" s="61" t="n"/>
      <c r="S909" s="61" t="n"/>
      <c r="T909" s="61" t="n"/>
      <c r="U909" s="61" t="n"/>
      <c r="V909" s="61" t="n"/>
      <c r="W909" s="61" t="n"/>
      <c r="X909" s="61" t="n"/>
      <c r="Y909" s="61" t="n"/>
      <c r="Z909" s="61" t="n"/>
      <c r="AA909" s="61" t="n"/>
      <c r="AB909" s="61" t="n"/>
      <c r="AC909" s="61" t="n"/>
      <c r="AD909" s="61" t="n"/>
      <c r="AE909" s="61" t="n"/>
      <c r="AF909" s="61" t="n"/>
      <c r="AG909" s="61" t="n"/>
      <c r="AH909" s="61" t="n"/>
    </row>
    <row r="910" ht="15.75" customHeight="1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  <c r="M910" s="61" t="n"/>
      <c r="N910" s="61" t="n"/>
      <c r="O910" s="61" t="n"/>
      <c r="P910" s="61" t="n"/>
      <c r="Q910" s="61" t="n"/>
      <c r="R910" s="61" t="n"/>
      <c r="S910" s="61" t="n"/>
      <c r="T910" s="61" t="n"/>
      <c r="U910" s="61" t="n"/>
      <c r="V910" s="61" t="n"/>
      <c r="W910" s="61" t="n"/>
      <c r="X910" s="61" t="n"/>
      <c r="Y910" s="61" t="n"/>
      <c r="Z910" s="61" t="n"/>
      <c r="AA910" s="61" t="n"/>
      <c r="AB910" s="61" t="n"/>
      <c r="AC910" s="61" t="n"/>
      <c r="AD910" s="61" t="n"/>
      <c r="AE910" s="61" t="n"/>
      <c r="AF910" s="61" t="n"/>
      <c r="AG910" s="61" t="n"/>
      <c r="AH910" s="61" t="n"/>
    </row>
    <row r="911" ht="15.75" customHeight="1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  <c r="M911" s="61" t="n"/>
      <c r="N911" s="61" t="n"/>
      <c r="O911" s="61" t="n"/>
      <c r="P911" s="61" t="n"/>
      <c r="Q911" s="61" t="n"/>
      <c r="R911" s="61" t="n"/>
      <c r="S911" s="61" t="n"/>
      <c r="T911" s="61" t="n"/>
      <c r="U911" s="61" t="n"/>
      <c r="V911" s="61" t="n"/>
      <c r="W911" s="61" t="n"/>
      <c r="X911" s="61" t="n"/>
      <c r="Y911" s="61" t="n"/>
      <c r="Z911" s="61" t="n"/>
      <c r="AA911" s="61" t="n"/>
      <c r="AB911" s="61" t="n"/>
      <c r="AC911" s="61" t="n"/>
      <c r="AD911" s="61" t="n"/>
      <c r="AE911" s="61" t="n"/>
      <c r="AF911" s="61" t="n"/>
      <c r="AG911" s="61" t="n"/>
      <c r="AH911" s="61" t="n"/>
    </row>
    <row r="912" ht="15.75" customHeight="1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  <c r="M912" s="61" t="n"/>
      <c r="N912" s="61" t="n"/>
      <c r="O912" s="61" t="n"/>
      <c r="P912" s="61" t="n"/>
      <c r="Q912" s="61" t="n"/>
      <c r="R912" s="61" t="n"/>
      <c r="S912" s="61" t="n"/>
      <c r="T912" s="61" t="n"/>
      <c r="U912" s="61" t="n"/>
      <c r="V912" s="61" t="n"/>
      <c r="W912" s="61" t="n"/>
      <c r="X912" s="61" t="n"/>
      <c r="Y912" s="61" t="n"/>
      <c r="Z912" s="61" t="n"/>
      <c r="AA912" s="61" t="n"/>
      <c r="AB912" s="61" t="n"/>
      <c r="AC912" s="61" t="n"/>
      <c r="AD912" s="61" t="n"/>
      <c r="AE912" s="61" t="n"/>
      <c r="AF912" s="61" t="n"/>
      <c r="AG912" s="61" t="n"/>
      <c r="AH912" s="61" t="n"/>
    </row>
    <row r="913" ht="15.75" customHeight="1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  <c r="M913" s="61" t="n"/>
      <c r="N913" s="61" t="n"/>
      <c r="O913" s="61" t="n"/>
      <c r="P913" s="61" t="n"/>
      <c r="Q913" s="61" t="n"/>
      <c r="R913" s="61" t="n"/>
      <c r="S913" s="61" t="n"/>
      <c r="T913" s="61" t="n"/>
      <c r="U913" s="61" t="n"/>
      <c r="V913" s="61" t="n"/>
      <c r="W913" s="61" t="n"/>
      <c r="X913" s="61" t="n"/>
      <c r="Y913" s="61" t="n"/>
      <c r="Z913" s="61" t="n"/>
      <c r="AA913" s="61" t="n"/>
      <c r="AB913" s="61" t="n"/>
      <c r="AC913" s="61" t="n"/>
      <c r="AD913" s="61" t="n"/>
      <c r="AE913" s="61" t="n"/>
      <c r="AF913" s="61" t="n"/>
      <c r="AG913" s="61" t="n"/>
      <c r="AH913" s="61" t="n"/>
    </row>
    <row r="914" ht="15.75" customHeight="1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  <c r="M914" s="61" t="n"/>
      <c r="N914" s="61" t="n"/>
      <c r="O914" s="61" t="n"/>
      <c r="P914" s="61" t="n"/>
      <c r="Q914" s="61" t="n"/>
      <c r="R914" s="61" t="n"/>
      <c r="S914" s="61" t="n"/>
      <c r="T914" s="61" t="n"/>
      <c r="U914" s="61" t="n"/>
      <c r="V914" s="61" t="n"/>
      <c r="W914" s="61" t="n"/>
      <c r="X914" s="61" t="n"/>
      <c r="Y914" s="61" t="n"/>
      <c r="Z914" s="61" t="n"/>
      <c r="AA914" s="61" t="n"/>
      <c r="AB914" s="61" t="n"/>
      <c r="AC914" s="61" t="n"/>
      <c r="AD914" s="61" t="n"/>
      <c r="AE914" s="61" t="n"/>
      <c r="AF914" s="61" t="n"/>
      <c r="AG914" s="61" t="n"/>
      <c r="AH914" s="61" t="n"/>
    </row>
    <row r="915" ht="15.75" customHeight="1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  <c r="M915" s="61" t="n"/>
      <c r="N915" s="61" t="n"/>
      <c r="O915" s="61" t="n"/>
      <c r="P915" s="61" t="n"/>
      <c r="Q915" s="61" t="n"/>
      <c r="R915" s="61" t="n"/>
      <c r="S915" s="61" t="n"/>
      <c r="T915" s="61" t="n"/>
      <c r="U915" s="61" t="n"/>
      <c r="V915" s="61" t="n"/>
      <c r="W915" s="61" t="n"/>
      <c r="X915" s="61" t="n"/>
      <c r="Y915" s="61" t="n"/>
      <c r="Z915" s="61" t="n"/>
      <c r="AA915" s="61" t="n"/>
      <c r="AB915" s="61" t="n"/>
      <c r="AC915" s="61" t="n"/>
      <c r="AD915" s="61" t="n"/>
      <c r="AE915" s="61" t="n"/>
      <c r="AF915" s="61" t="n"/>
      <c r="AG915" s="61" t="n"/>
      <c r="AH915" s="61" t="n"/>
    </row>
    <row r="916" ht="15.75" customHeight="1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  <c r="M916" s="61" t="n"/>
      <c r="N916" s="61" t="n"/>
      <c r="O916" s="61" t="n"/>
      <c r="P916" s="61" t="n"/>
      <c r="Q916" s="61" t="n"/>
      <c r="R916" s="61" t="n"/>
      <c r="S916" s="61" t="n"/>
      <c r="T916" s="61" t="n"/>
      <c r="U916" s="61" t="n"/>
      <c r="V916" s="61" t="n"/>
      <c r="W916" s="61" t="n"/>
      <c r="X916" s="61" t="n"/>
      <c r="Y916" s="61" t="n"/>
      <c r="Z916" s="61" t="n"/>
      <c r="AA916" s="61" t="n"/>
      <c r="AB916" s="61" t="n"/>
      <c r="AC916" s="61" t="n"/>
      <c r="AD916" s="61" t="n"/>
      <c r="AE916" s="61" t="n"/>
      <c r="AF916" s="61" t="n"/>
      <c r="AG916" s="61" t="n"/>
      <c r="AH916" s="61" t="n"/>
    </row>
    <row r="917" ht="15.75" customHeight="1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  <c r="M917" s="61" t="n"/>
      <c r="N917" s="61" t="n"/>
      <c r="O917" s="61" t="n"/>
      <c r="P917" s="61" t="n"/>
      <c r="Q917" s="61" t="n"/>
      <c r="R917" s="61" t="n"/>
      <c r="S917" s="61" t="n"/>
      <c r="T917" s="61" t="n"/>
      <c r="U917" s="61" t="n"/>
      <c r="V917" s="61" t="n"/>
      <c r="W917" s="61" t="n"/>
      <c r="X917" s="61" t="n"/>
      <c r="Y917" s="61" t="n"/>
      <c r="Z917" s="61" t="n"/>
      <c r="AA917" s="61" t="n"/>
      <c r="AB917" s="61" t="n"/>
      <c r="AC917" s="61" t="n"/>
      <c r="AD917" s="61" t="n"/>
      <c r="AE917" s="61" t="n"/>
      <c r="AF917" s="61" t="n"/>
      <c r="AG917" s="61" t="n"/>
      <c r="AH917" s="61" t="n"/>
    </row>
    <row r="918" ht="15.75" customHeight="1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  <c r="M918" s="61" t="n"/>
      <c r="N918" s="61" t="n"/>
      <c r="O918" s="61" t="n"/>
      <c r="P918" s="61" t="n"/>
      <c r="Q918" s="61" t="n"/>
      <c r="R918" s="61" t="n"/>
      <c r="S918" s="61" t="n"/>
      <c r="T918" s="61" t="n"/>
      <c r="U918" s="61" t="n"/>
      <c r="V918" s="61" t="n"/>
      <c r="W918" s="61" t="n"/>
      <c r="X918" s="61" t="n"/>
      <c r="Y918" s="61" t="n"/>
      <c r="Z918" s="61" t="n"/>
      <c r="AA918" s="61" t="n"/>
      <c r="AB918" s="61" t="n"/>
      <c r="AC918" s="61" t="n"/>
      <c r="AD918" s="61" t="n"/>
      <c r="AE918" s="61" t="n"/>
      <c r="AF918" s="61" t="n"/>
      <c r="AG918" s="61" t="n"/>
      <c r="AH918" s="61" t="n"/>
    </row>
    <row r="919" ht="15.75" customHeight="1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  <c r="M919" s="61" t="n"/>
      <c r="N919" s="61" t="n"/>
      <c r="O919" s="61" t="n"/>
      <c r="P919" s="61" t="n"/>
      <c r="Q919" s="61" t="n"/>
      <c r="R919" s="61" t="n"/>
      <c r="S919" s="61" t="n"/>
      <c r="T919" s="61" t="n"/>
      <c r="U919" s="61" t="n"/>
      <c r="V919" s="61" t="n"/>
      <c r="W919" s="61" t="n"/>
      <c r="X919" s="61" t="n"/>
      <c r="Y919" s="61" t="n"/>
      <c r="Z919" s="61" t="n"/>
      <c r="AA919" s="61" t="n"/>
      <c r="AB919" s="61" t="n"/>
      <c r="AC919" s="61" t="n"/>
      <c r="AD919" s="61" t="n"/>
      <c r="AE919" s="61" t="n"/>
      <c r="AF919" s="61" t="n"/>
      <c r="AG919" s="61" t="n"/>
      <c r="AH919" s="61" t="n"/>
    </row>
    <row r="920" ht="15.75" customHeight="1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  <c r="M920" s="61" t="n"/>
      <c r="N920" s="61" t="n"/>
      <c r="O920" s="61" t="n"/>
      <c r="P920" s="61" t="n"/>
      <c r="Q920" s="61" t="n"/>
      <c r="R920" s="61" t="n"/>
      <c r="S920" s="61" t="n"/>
      <c r="T920" s="61" t="n"/>
      <c r="U920" s="61" t="n"/>
      <c r="V920" s="61" t="n"/>
      <c r="W920" s="61" t="n"/>
      <c r="X920" s="61" t="n"/>
      <c r="Y920" s="61" t="n"/>
      <c r="Z920" s="61" t="n"/>
      <c r="AA920" s="61" t="n"/>
      <c r="AB920" s="61" t="n"/>
      <c r="AC920" s="61" t="n"/>
      <c r="AD920" s="61" t="n"/>
      <c r="AE920" s="61" t="n"/>
      <c r="AF920" s="61" t="n"/>
      <c r="AG920" s="61" t="n"/>
      <c r="AH920" s="61" t="n"/>
    </row>
    <row r="921" ht="15.75" customHeight="1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  <c r="M921" s="61" t="n"/>
      <c r="N921" s="61" t="n"/>
      <c r="O921" s="61" t="n"/>
      <c r="P921" s="61" t="n"/>
      <c r="Q921" s="61" t="n"/>
      <c r="R921" s="61" t="n"/>
      <c r="S921" s="61" t="n"/>
      <c r="T921" s="61" t="n"/>
      <c r="U921" s="61" t="n"/>
      <c r="V921" s="61" t="n"/>
      <c r="W921" s="61" t="n"/>
      <c r="X921" s="61" t="n"/>
      <c r="Y921" s="61" t="n"/>
      <c r="Z921" s="61" t="n"/>
      <c r="AA921" s="61" t="n"/>
      <c r="AB921" s="61" t="n"/>
      <c r="AC921" s="61" t="n"/>
      <c r="AD921" s="61" t="n"/>
      <c r="AE921" s="61" t="n"/>
      <c r="AF921" s="61" t="n"/>
      <c r="AG921" s="61" t="n"/>
      <c r="AH921" s="61" t="n"/>
    </row>
    <row r="922" ht="15.75" customHeight="1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  <c r="M922" s="61" t="n"/>
      <c r="N922" s="61" t="n"/>
      <c r="O922" s="61" t="n"/>
      <c r="P922" s="61" t="n"/>
      <c r="Q922" s="61" t="n"/>
      <c r="R922" s="61" t="n"/>
      <c r="S922" s="61" t="n"/>
      <c r="T922" s="61" t="n"/>
      <c r="U922" s="61" t="n"/>
      <c r="V922" s="61" t="n"/>
      <c r="W922" s="61" t="n"/>
      <c r="X922" s="61" t="n"/>
      <c r="Y922" s="61" t="n"/>
      <c r="Z922" s="61" t="n"/>
      <c r="AA922" s="61" t="n"/>
      <c r="AB922" s="61" t="n"/>
      <c r="AC922" s="61" t="n"/>
      <c r="AD922" s="61" t="n"/>
      <c r="AE922" s="61" t="n"/>
      <c r="AF922" s="61" t="n"/>
      <c r="AG922" s="61" t="n"/>
      <c r="AH922" s="61" t="n"/>
    </row>
    <row r="923" ht="15.75" customHeight="1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  <c r="M923" s="61" t="n"/>
      <c r="N923" s="61" t="n"/>
      <c r="O923" s="61" t="n"/>
      <c r="P923" s="61" t="n"/>
      <c r="Q923" s="61" t="n"/>
      <c r="R923" s="61" t="n"/>
      <c r="S923" s="61" t="n"/>
      <c r="T923" s="61" t="n"/>
      <c r="U923" s="61" t="n"/>
      <c r="V923" s="61" t="n"/>
      <c r="W923" s="61" t="n"/>
      <c r="X923" s="61" t="n"/>
      <c r="Y923" s="61" t="n"/>
      <c r="Z923" s="61" t="n"/>
      <c r="AA923" s="61" t="n"/>
      <c r="AB923" s="61" t="n"/>
      <c r="AC923" s="61" t="n"/>
      <c r="AD923" s="61" t="n"/>
      <c r="AE923" s="61" t="n"/>
      <c r="AF923" s="61" t="n"/>
      <c r="AG923" s="61" t="n"/>
      <c r="AH923" s="61" t="n"/>
    </row>
    <row r="924" ht="15.75" customHeight="1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  <c r="M924" s="61" t="n"/>
      <c r="N924" s="61" t="n"/>
      <c r="O924" s="61" t="n"/>
      <c r="P924" s="61" t="n"/>
      <c r="Q924" s="61" t="n"/>
      <c r="R924" s="61" t="n"/>
      <c r="S924" s="61" t="n"/>
      <c r="T924" s="61" t="n"/>
      <c r="U924" s="61" t="n"/>
      <c r="V924" s="61" t="n"/>
      <c r="W924" s="61" t="n"/>
      <c r="X924" s="61" t="n"/>
      <c r="Y924" s="61" t="n"/>
      <c r="Z924" s="61" t="n"/>
      <c r="AA924" s="61" t="n"/>
      <c r="AB924" s="61" t="n"/>
      <c r="AC924" s="61" t="n"/>
      <c r="AD924" s="61" t="n"/>
      <c r="AE924" s="61" t="n"/>
      <c r="AF924" s="61" t="n"/>
      <c r="AG924" s="61" t="n"/>
      <c r="AH924" s="61" t="n"/>
    </row>
    <row r="925" ht="15.75" customHeight="1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  <c r="M925" s="61" t="n"/>
      <c r="N925" s="61" t="n"/>
      <c r="O925" s="61" t="n"/>
      <c r="P925" s="61" t="n"/>
      <c r="Q925" s="61" t="n"/>
      <c r="R925" s="61" t="n"/>
      <c r="S925" s="61" t="n"/>
      <c r="T925" s="61" t="n"/>
      <c r="U925" s="61" t="n"/>
      <c r="V925" s="61" t="n"/>
      <c r="W925" s="61" t="n"/>
      <c r="X925" s="61" t="n"/>
      <c r="Y925" s="61" t="n"/>
      <c r="Z925" s="61" t="n"/>
      <c r="AA925" s="61" t="n"/>
      <c r="AB925" s="61" t="n"/>
      <c r="AC925" s="61" t="n"/>
      <c r="AD925" s="61" t="n"/>
      <c r="AE925" s="61" t="n"/>
      <c r="AF925" s="61" t="n"/>
      <c r="AG925" s="61" t="n"/>
      <c r="AH925" s="61" t="n"/>
    </row>
    <row r="926" ht="15.75" customHeight="1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  <c r="M926" s="61" t="n"/>
      <c r="N926" s="61" t="n"/>
      <c r="O926" s="61" t="n"/>
      <c r="P926" s="61" t="n"/>
      <c r="Q926" s="61" t="n"/>
      <c r="R926" s="61" t="n"/>
      <c r="S926" s="61" t="n"/>
      <c r="T926" s="61" t="n"/>
      <c r="U926" s="61" t="n"/>
      <c r="V926" s="61" t="n"/>
      <c r="W926" s="61" t="n"/>
      <c r="X926" s="61" t="n"/>
      <c r="Y926" s="61" t="n"/>
      <c r="Z926" s="61" t="n"/>
      <c r="AA926" s="61" t="n"/>
      <c r="AB926" s="61" t="n"/>
      <c r="AC926" s="61" t="n"/>
      <c r="AD926" s="61" t="n"/>
      <c r="AE926" s="61" t="n"/>
      <c r="AF926" s="61" t="n"/>
      <c r="AG926" s="61" t="n"/>
      <c r="AH926" s="61" t="n"/>
    </row>
    <row r="927" ht="15.75" customHeight="1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  <c r="M927" s="61" t="n"/>
      <c r="N927" s="61" t="n"/>
      <c r="O927" s="61" t="n"/>
      <c r="P927" s="61" t="n"/>
      <c r="Q927" s="61" t="n"/>
      <c r="R927" s="61" t="n"/>
      <c r="S927" s="61" t="n"/>
      <c r="T927" s="61" t="n"/>
      <c r="U927" s="61" t="n"/>
      <c r="V927" s="61" t="n"/>
      <c r="W927" s="61" t="n"/>
      <c r="X927" s="61" t="n"/>
      <c r="Y927" s="61" t="n"/>
      <c r="Z927" s="61" t="n"/>
      <c r="AA927" s="61" t="n"/>
      <c r="AB927" s="61" t="n"/>
      <c r="AC927" s="61" t="n"/>
      <c r="AD927" s="61" t="n"/>
      <c r="AE927" s="61" t="n"/>
      <c r="AF927" s="61" t="n"/>
      <c r="AG927" s="61" t="n"/>
      <c r="AH927" s="61" t="n"/>
    </row>
    <row r="928" ht="15.75" customHeight="1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  <c r="M928" s="61" t="n"/>
      <c r="N928" s="61" t="n"/>
      <c r="O928" s="61" t="n"/>
      <c r="P928" s="61" t="n"/>
      <c r="Q928" s="61" t="n"/>
      <c r="R928" s="61" t="n"/>
      <c r="S928" s="61" t="n"/>
      <c r="T928" s="61" t="n"/>
      <c r="U928" s="61" t="n"/>
      <c r="V928" s="61" t="n"/>
      <c r="W928" s="61" t="n"/>
      <c r="X928" s="61" t="n"/>
      <c r="Y928" s="61" t="n"/>
      <c r="Z928" s="61" t="n"/>
      <c r="AA928" s="61" t="n"/>
      <c r="AB928" s="61" t="n"/>
      <c r="AC928" s="61" t="n"/>
      <c r="AD928" s="61" t="n"/>
      <c r="AE928" s="61" t="n"/>
      <c r="AF928" s="61" t="n"/>
      <c r="AG928" s="61" t="n"/>
      <c r="AH928" s="61" t="n"/>
    </row>
    <row r="929" ht="15.75" customHeight="1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  <c r="M929" s="61" t="n"/>
      <c r="N929" s="61" t="n"/>
      <c r="O929" s="61" t="n"/>
      <c r="P929" s="61" t="n"/>
      <c r="Q929" s="61" t="n"/>
      <c r="R929" s="61" t="n"/>
      <c r="S929" s="61" t="n"/>
      <c r="T929" s="61" t="n"/>
      <c r="U929" s="61" t="n"/>
      <c r="V929" s="61" t="n"/>
      <c r="W929" s="61" t="n"/>
      <c r="X929" s="61" t="n"/>
      <c r="Y929" s="61" t="n"/>
      <c r="Z929" s="61" t="n"/>
      <c r="AA929" s="61" t="n"/>
      <c r="AB929" s="61" t="n"/>
      <c r="AC929" s="61" t="n"/>
      <c r="AD929" s="61" t="n"/>
      <c r="AE929" s="61" t="n"/>
      <c r="AF929" s="61" t="n"/>
      <c r="AG929" s="61" t="n"/>
      <c r="AH929" s="61" t="n"/>
    </row>
    <row r="930" ht="15.75" customHeight="1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  <c r="M930" s="61" t="n"/>
      <c r="N930" s="61" t="n"/>
      <c r="O930" s="61" t="n"/>
      <c r="P930" s="61" t="n"/>
      <c r="Q930" s="61" t="n"/>
      <c r="R930" s="61" t="n"/>
      <c r="S930" s="61" t="n"/>
      <c r="T930" s="61" t="n"/>
      <c r="U930" s="61" t="n"/>
      <c r="V930" s="61" t="n"/>
      <c r="W930" s="61" t="n"/>
      <c r="X930" s="61" t="n"/>
      <c r="Y930" s="61" t="n"/>
      <c r="Z930" s="61" t="n"/>
      <c r="AA930" s="61" t="n"/>
      <c r="AB930" s="61" t="n"/>
      <c r="AC930" s="61" t="n"/>
      <c r="AD930" s="61" t="n"/>
      <c r="AE930" s="61" t="n"/>
      <c r="AF930" s="61" t="n"/>
      <c r="AG930" s="61" t="n"/>
      <c r="AH930" s="61" t="n"/>
    </row>
    <row r="931" ht="15.75" customHeight="1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  <c r="M931" s="61" t="n"/>
      <c r="N931" s="61" t="n"/>
      <c r="O931" s="61" t="n"/>
      <c r="P931" s="61" t="n"/>
      <c r="Q931" s="61" t="n"/>
      <c r="R931" s="61" t="n"/>
      <c r="S931" s="61" t="n"/>
      <c r="T931" s="61" t="n"/>
      <c r="U931" s="61" t="n"/>
      <c r="V931" s="61" t="n"/>
      <c r="W931" s="61" t="n"/>
      <c r="X931" s="61" t="n"/>
      <c r="Y931" s="61" t="n"/>
      <c r="Z931" s="61" t="n"/>
      <c r="AA931" s="61" t="n"/>
      <c r="AB931" s="61" t="n"/>
      <c r="AC931" s="61" t="n"/>
      <c r="AD931" s="61" t="n"/>
      <c r="AE931" s="61" t="n"/>
      <c r="AF931" s="61" t="n"/>
      <c r="AG931" s="61" t="n"/>
      <c r="AH931" s="61" t="n"/>
    </row>
    <row r="932" ht="15.75" customHeight="1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  <c r="M932" s="61" t="n"/>
      <c r="N932" s="61" t="n"/>
      <c r="O932" s="61" t="n"/>
      <c r="P932" s="61" t="n"/>
      <c r="Q932" s="61" t="n"/>
      <c r="R932" s="61" t="n"/>
      <c r="S932" s="61" t="n"/>
      <c r="T932" s="61" t="n"/>
      <c r="U932" s="61" t="n"/>
      <c r="V932" s="61" t="n"/>
      <c r="W932" s="61" t="n"/>
      <c r="X932" s="61" t="n"/>
      <c r="Y932" s="61" t="n"/>
      <c r="Z932" s="61" t="n"/>
      <c r="AA932" s="61" t="n"/>
      <c r="AB932" s="61" t="n"/>
      <c r="AC932" s="61" t="n"/>
      <c r="AD932" s="61" t="n"/>
      <c r="AE932" s="61" t="n"/>
      <c r="AF932" s="61" t="n"/>
      <c r="AG932" s="61" t="n"/>
      <c r="AH932" s="61" t="n"/>
    </row>
    <row r="933" ht="15.75" customHeight="1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  <c r="M933" s="61" t="n"/>
      <c r="N933" s="61" t="n"/>
      <c r="O933" s="61" t="n"/>
      <c r="P933" s="61" t="n"/>
      <c r="Q933" s="61" t="n"/>
      <c r="R933" s="61" t="n"/>
      <c r="S933" s="61" t="n"/>
      <c r="T933" s="61" t="n"/>
      <c r="U933" s="61" t="n"/>
      <c r="V933" s="61" t="n"/>
      <c r="W933" s="61" t="n"/>
      <c r="X933" s="61" t="n"/>
      <c r="Y933" s="61" t="n"/>
      <c r="Z933" s="61" t="n"/>
      <c r="AA933" s="61" t="n"/>
      <c r="AB933" s="61" t="n"/>
      <c r="AC933" s="61" t="n"/>
      <c r="AD933" s="61" t="n"/>
      <c r="AE933" s="61" t="n"/>
      <c r="AF933" s="61" t="n"/>
      <c r="AG933" s="61" t="n"/>
      <c r="AH933" s="61" t="n"/>
    </row>
    <row r="934" ht="15.75" customHeight="1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  <c r="M934" s="61" t="n"/>
      <c r="N934" s="61" t="n"/>
      <c r="O934" s="61" t="n"/>
      <c r="P934" s="61" t="n"/>
      <c r="Q934" s="61" t="n"/>
      <c r="R934" s="61" t="n"/>
      <c r="S934" s="61" t="n"/>
      <c r="T934" s="61" t="n"/>
      <c r="U934" s="61" t="n"/>
      <c r="V934" s="61" t="n"/>
      <c r="W934" s="61" t="n"/>
      <c r="X934" s="61" t="n"/>
      <c r="Y934" s="61" t="n"/>
      <c r="Z934" s="61" t="n"/>
      <c r="AA934" s="61" t="n"/>
      <c r="AB934" s="61" t="n"/>
      <c r="AC934" s="61" t="n"/>
      <c r="AD934" s="61" t="n"/>
      <c r="AE934" s="61" t="n"/>
      <c r="AF934" s="61" t="n"/>
      <c r="AG934" s="61" t="n"/>
      <c r="AH934" s="61" t="n"/>
    </row>
    <row r="935" ht="15.75" customHeight="1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  <c r="M935" s="61" t="n"/>
      <c r="N935" s="61" t="n"/>
      <c r="O935" s="61" t="n"/>
      <c r="P935" s="61" t="n"/>
      <c r="Q935" s="61" t="n"/>
      <c r="R935" s="61" t="n"/>
      <c r="S935" s="61" t="n"/>
      <c r="T935" s="61" t="n"/>
      <c r="U935" s="61" t="n"/>
      <c r="V935" s="61" t="n"/>
      <c r="W935" s="61" t="n"/>
      <c r="X935" s="61" t="n"/>
      <c r="Y935" s="61" t="n"/>
      <c r="Z935" s="61" t="n"/>
      <c r="AA935" s="61" t="n"/>
      <c r="AB935" s="61" t="n"/>
      <c r="AC935" s="61" t="n"/>
      <c r="AD935" s="61" t="n"/>
      <c r="AE935" s="61" t="n"/>
      <c r="AF935" s="61" t="n"/>
      <c r="AG935" s="61" t="n"/>
      <c r="AH935" s="61" t="n"/>
    </row>
    <row r="936" ht="15.75" customHeight="1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  <c r="M936" s="61" t="n"/>
      <c r="N936" s="61" t="n"/>
      <c r="O936" s="61" t="n"/>
      <c r="P936" s="61" t="n"/>
      <c r="Q936" s="61" t="n"/>
      <c r="R936" s="61" t="n"/>
      <c r="S936" s="61" t="n"/>
      <c r="T936" s="61" t="n"/>
      <c r="U936" s="61" t="n"/>
      <c r="V936" s="61" t="n"/>
      <c r="W936" s="61" t="n"/>
      <c r="X936" s="61" t="n"/>
      <c r="Y936" s="61" t="n"/>
      <c r="Z936" s="61" t="n"/>
      <c r="AA936" s="61" t="n"/>
      <c r="AB936" s="61" t="n"/>
      <c r="AC936" s="61" t="n"/>
      <c r="AD936" s="61" t="n"/>
      <c r="AE936" s="61" t="n"/>
      <c r="AF936" s="61" t="n"/>
      <c r="AG936" s="61" t="n"/>
      <c r="AH936" s="61" t="n"/>
    </row>
    <row r="937" ht="15.75" customHeight="1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  <c r="M937" s="61" t="n"/>
      <c r="N937" s="61" t="n"/>
      <c r="O937" s="61" t="n"/>
      <c r="P937" s="61" t="n"/>
      <c r="Q937" s="61" t="n"/>
      <c r="R937" s="61" t="n"/>
      <c r="S937" s="61" t="n"/>
      <c r="T937" s="61" t="n"/>
      <c r="U937" s="61" t="n"/>
      <c r="V937" s="61" t="n"/>
      <c r="W937" s="61" t="n"/>
      <c r="X937" s="61" t="n"/>
      <c r="Y937" s="61" t="n"/>
      <c r="Z937" s="61" t="n"/>
      <c r="AA937" s="61" t="n"/>
      <c r="AB937" s="61" t="n"/>
      <c r="AC937" s="61" t="n"/>
      <c r="AD937" s="61" t="n"/>
      <c r="AE937" s="61" t="n"/>
      <c r="AF937" s="61" t="n"/>
      <c r="AG937" s="61" t="n"/>
      <c r="AH937" s="61" t="n"/>
    </row>
    <row r="938" ht="15.75" customHeight="1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  <c r="M938" s="61" t="n"/>
      <c r="N938" s="61" t="n"/>
      <c r="O938" s="61" t="n"/>
      <c r="P938" s="61" t="n"/>
      <c r="Q938" s="61" t="n"/>
      <c r="R938" s="61" t="n"/>
      <c r="S938" s="61" t="n"/>
      <c r="T938" s="61" t="n"/>
      <c r="U938" s="61" t="n"/>
      <c r="V938" s="61" t="n"/>
      <c r="W938" s="61" t="n"/>
      <c r="X938" s="61" t="n"/>
      <c r="Y938" s="61" t="n"/>
      <c r="Z938" s="61" t="n"/>
      <c r="AA938" s="61" t="n"/>
      <c r="AB938" s="61" t="n"/>
      <c r="AC938" s="61" t="n"/>
      <c r="AD938" s="61" t="n"/>
      <c r="AE938" s="61" t="n"/>
      <c r="AF938" s="61" t="n"/>
      <c r="AG938" s="61" t="n"/>
      <c r="AH938" s="61" t="n"/>
    </row>
    <row r="939" ht="15.75" customHeight="1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  <c r="M939" s="61" t="n"/>
      <c r="N939" s="61" t="n"/>
      <c r="O939" s="61" t="n"/>
      <c r="P939" s="61" t="n"/>
      <c r="Q939" s="61" t="n"/>
      <c r="R939" s="61" t="n"/>
      <c r="S939" s="61" t="n"/>
      <c r="T939" s="61" t="n"/>
      <c r="U939" s="61" t="n"/>
      <c r="V939" s="61" t="n"/>
      <c r="W939" s="61" t="n"/>
      <c r="X939" s="61" t="n"/>
      <c r="Y939" s="61" t="n"/>
      <c r="Z939" s="61" t="n"/>
      <c r="AA939" s="61" t="n"/>
      <c r="AB939" s="61" t="n"/>
      <c r="AC939" s="61" t="n"/>
      <c r="AD939" s="61" t="n"/>
      <c r="AE939" s="61" t="n"/>
      <c r="AF939" s="61" t="n"/>
      <c r="AG939" s="61" t="n"/>
      <c r="AH939" s="61" t="n"/>
    </row>
    <row r="940" ht="15.75" customHeight="1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  <c r="M940" s="61" t="n"/>
      <c r="N940" s="61" t="n"/>
      <c r="O940" s="61" t="n"/>
      <c r="P940" s="61" t="n"/>
      <c r="Q940" s="61" t="n"/>
      <c r="R940" s="61" t="n"/>
      <c r="S940" s="61" t="n"/>
      <c r="T940" s="61" t="n"/>
      <c r="U940" s="61" t="n"/>
      <c r="V940" s="61" t="n"/>
      <c r="W940" s="61" t="n"/>
      <c r="X940" s="61" t="n"/>
      <c r="Y940" s="61" t="n"/>
      <c r="Z940" s="61" t="n"/>
      <c r="AA940" s="61" t="n"/>
      <c r="AB940" s="61" t="n"/>
      <c r="AC940" s="61" t="n"/>
      <c r="AD940" s="61" t="n"/>
      <c r="AE940" s="61" t="n"/>
      <c r="AF940" s="61" t="n"/>
      <c r="AG940" s="61" t="n"/>
      <c r="AH940" s="61" t="n"/>
    </row>
    <row r="941" ht="15.75" customHeight="1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  <c r="M941" s="61" t="n"/>
      <c r="N941" s="61" t="n"/>
      <c r="O941" s="61" t="n"/>
      <c r="P941" s="61" t="n"/>
      <c r="Q941" s="61" t="n"/>
      <c r="R941" s="61" t="n"/>
      <c r="S941" s="61" t="n"/>
      <c r="T941" s="61" t="n"/>
      <c r="U941" s="61" t="n"/>
      <c r="V941" s="61" t="n"/>
      <c r="W941" s="61" t="n"/>
      <c r="X941" s="61" t="n"/>
      <c r="Y941" s="61" t="n"/>
      <c r="Z941" s="61" t="n"/>
      <c r="AA941" s="61" t="n"/>
      <c r="AB941" s="61" t="n"/>
      <c r="AC941" s="61" t="n"/>
      <c r="AD941" s="61" t="n"/>
      <c r="AE941" s="61" t="n"/>
      <c r="AF941" s="61" t="n"/>
      <c r="AG941" s="61" t="n"/>
      <c r="AH941" s="61" t="n"/>
    </row>
    <row r="942" ht="15.75" customHeight="1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  <c r="M942" s="61" t="n"/>
      <c r="N942" s="61" t="n"/>
      <c r="O942" s="61" t="n"/>
      <c r="P942" s="61" t="n"/>
      <c r="Q942" s="61" t="n"/>
      <c r="R942" s="61" t="n"/>
      <c r="S942" s="61" t="n"/>
      <c r="T942" s="61" t="n"/>
      <c r="U942" s="61" t="n"/>
      <c r="V942" s="61" t="n"/>
      <c r="W942" s="61" t="n"/>
      <c r="X942" s="61" t="n"/>
      <c r="Y942" s="61" t="n"/>
      <c r="Z942" s="61" t="n"/>
      <c r="AA942" s="61" t="n"/>
      <c r="AB942" s="61" t="n"/>
      <c r="AC942" s="61" t="n"/>
      <c r="AD942" s="61" t="n"/>
      <c r="AE942" s="61" t="n"/>
      <c r="AF942" s="61" t="n"/>
      <c r="AG942" s="61" t="n"/>
      <c r="AH942" s="61" t="n"/>
    </row>
    <row r="943" ht="15.75" customHeight="1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  <c r="M943" s="61" t="n"/>
      <c r="N943" s="61" t="n"/>
      <c r="O943" s="61" t="n"/>
      <c r="P943" s="61" t="n"/>
      <c r="Q943" s="61" t="n"/>
      <c r="R943" s="61" t="n"/>
      <c r="S943" s="61" t="n"/>
      <c r="T943" s="61" t="n"/>
      <c r="U943" s="61" t="n"/>
      <c r="V943" s="61" t="n"/>
      <c r="W943" s="61" t="n"/>
      <c r="X943" s="61" t="n"/>
      <c r="Y943" s="61" t="n"/>
      <c r="Z943" s="61" t="n"/>
      <c r="AA943" s="61" t="n"/>
      <c r="AB943" s="61" t="n"/>
      <c r="AC943" s="61" t="n"/>
      <c r="AD943" s="61" t="n"/>
      <c r="AE943" s="61" t="n"/>
      <c r="AF943" s="61" t="n"/>
      <c r="AG943" s="61" t="n"/>
      <c r="AH943" s="61" t="n"/>
    </row>
    <row r="944" ht="15.75" customHeight="1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  <c r="M944" s="61" t="n"/>
      <c r="N944" s="61" t="n"/>
      <c r="O944" s="61" t="n"/>
      <c r="P944" s="61" t="n"/>
      <c r="Q944" s="61" t="n"/>
      <c r="R944" s="61" t="n"/>
      <c r="S944" s="61" t="n"/>
      <c r="T944" s="61" t="n"/>
      <c r="U944" s="61" t="n"/>
      <c r="V944" s="61" t="n"/>
      <c r="W944" s="61" t="n"/>
      <c r="X944" s="61" t="n"/>
      <c r="Y944" s="61" t="n"/>
      <c r="Z944" s="61" t="n"/>
      <c r="AA944" s="61" t="n"/>
      <c r="AB944" s="61" t="n"/>
      <c r="AC944" s="61" t="n"/>
      <c r="AD944" s="61" t="n"/>
      <c r="AE944" s="61" t="n"/>
      <c r="AF944" s="61" t="n"/>
      <c r="AG944" s="61" t="n"/>
      <c r="AH944" s="61" t="n"/>
    </row>
    <row r="945" ht="15.75" customHeight="1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  <c r="M945" s="61" t="n"/>
      <c r="N945" s="61" t="n"/>
      <c r="O945" s="61" t="n"/>
      <c r="P945" s="61" t="n"/>
      <c r="Q945" s="61" t="n"/>
      <c r="R945" s="61" t="n"/>
      <c r="S945" s="61" t="n"/>
      <c r="T945" s="61" t="n"/>
      <c r="U945" s="61" t="n"/>
      <c r="V945" s="61" t="n"/>
      <c r="W945" s="61" t="n"/>
      <c r="X945" s="61" t="n"/>
      <c r="Y945" s="61" t="n"/>
      <c r="Z945" s="61" t="n"/>
      <c r="AA945" s="61" t="n"/>
      <c r="AB945" s="61" t="n"/>
      <c r="AC945" s="61" t="n"/>
      <c r="AD945" s="61" t="n"/>
      <c r="AE945" s="61" t="n"/>
      <c r="AF945" s="61" t="n"/>
      <c r="AG945" s="61" t="n"/>
      <c r="AH945" s="61" t="n"/>
    </row>
    <row r="946" ht="15.75" customHeight="1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  <c r="M946" s="61" t="n"/>
      <c r="N946" s="61" t="n"/>
      <c r="O946" s="61" t="n"/>
      <c r="P946" s="61" t="n"/>
      <c r="Q946" s="61" t="n"/>
      <c r="R946" s="61" t="n"/>
      <c r="S946" s="61" t="n"/>
      <c r="T946" s="61" t="n"/>
      <c r="U946" s="61" t="n"/>
      <c r="V946" s="61" t="n"/>
      <c r="W946" s="61" t="n"/>
      <c r="X946" s="61" t="n"/>
      <c r="Y946" s="61" t="n"/>
      <c r="Z946" s="61" t="n"/>
      <c r="AA946" s="61" t="n"/>
      <c r="AB946" s="61" t="n"/>
      <c r="AC946" s="61" t="n"/>
      <c r="AD946" s="61" t="n"/>
      <c r="AE946" s="61" t="n"/>
      <c r="AF946" s="61" t="n"/>
      <c r="AG946" s="61" t="n"/>
      <c r="AH946" s="61" t="n"/>
    </row>
    <row r="947" ht="15.75" customHeight="1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  <c r="M947" s="61" t="n"/>
      <c r="N947" s="61" t="n"/>
      <c r="O947" s="61" t="n"/>
      <c r="P947" s="61" t="n"/>
      <c r="Q947" s="61" t="n"/>
      <c r="R947" s="61" t="n"/>
      <c r="S947" s="61" t="n"/>
      <c r="T947" s="61" t="n"/>
      <c r="U947" s="61" t="n"/>
      <c r="V947" s="61" t="n"/>
      <c r="W947" s="61" t="n"/>
      <c r="X947" s="61" t="n"/>
      <c r="Y947" s="61" t="n"/>
      <c r="Z947" s="61" t="n"/>
      <c r="AA947" s="61" t="n"/>
      <c r="AB947" s="61" t="n"/>
      <c r="AC947" s="61" t="n"/>
      <c r="AD947" s="61" t="n"/>
      <c r="AE947" s="61" t="n"/>
      <c r="AF947" s="61" t="n"/>
      <c r="AG947" s="61" t="n"/>
      <c r="AH947" s="61" t="n"/>
    </row>
    <row r="948" ht="15.75" customHeight="1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  <c r="M948" s="61" t="n"/>
      <c r="N948" s="61" t="n"/>
      <c r="O948" s="61" t="n"/>
      <c r="P948" s="61" t="n"/>
      <c r="Q948" s="61" t="n"/>
      <c r="R948" s="61" t="n"/>
      <c r="S948" s="61" t="n"/>
      <c r="T948" s="61" t="n"/>
      <c r="U948" s="61" t="n"/>
      <c r="V948" s="61" t="n"/>
      <c r="W948" s="61" t="n"/>
      <c r="X948" s="61" t="n"/>
      <c r="Y948" s="61" t="n"/>
      <c r="Z948" s="61" t="n"/>
      <c r="AA948" s="61" t="n"/>
      <c r="AB948" s="61" t="n"/>
      <c r="AC948" s="61" t="n"/>
      <c r="AD948" s="61" t="n"/>
      <c r="AE948" s="61" t="n"/>
      <c r="AF948" s="61" t="n"/>
      <c r="AG948" s="61" t="n"/>
      <c r="AH948" s="61" t="n"/>
    </row>
    <row r="949" ht="15.75" customHeight="1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  <c r="M949" s="61" t="n"/>
      <c r="N949" s="61" t="n"/>
      <c r="O949" s="61" t="n"/>
      <c r="P949" s="61" t="n"/>
      <c r="Q949" s="61" t="n"/>
      <c r="R949" s="61" t="n"/>
      <c r="S949" s="61" t="n"/>
      <c r="T949" s="61" t="n"/>
      <c r="U949" s="61" t="n"/>
      <c r="V949" s="61" t="n"/>
      <c r="W949" s="61" t="n"/>
      <c r="X949" s="61" t="n"/>
      <c r="Y949" s="61" t="n"/>
      <c r="Z949" s="61" t="n"/>
      <c r="AA949" s="61" t="n"/>
      <c r="AB949" s="61" t="n"/>
      <c r="AC949" s="61" t="n"/>
      <c r="AD949" s="61" t="n"/>
      <c r="AE949" s="61" t="n"/>
      <c r="AF949" s="61" t="n"/>
      <c r="AG949" s="61" t="n"/>
      <c r="AH949" s="61" t="n"/>
    </row>
    <row r="950" ht="15.75" customHeight="1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  <c r="M950" s="61" t="n"/>
      <c r="N950" s="61" t="n"/>
      <c r="O950" s="61" t="n"/>
      <c r="P950" s="61" t="n"/>
      <c r="Q950" s="61" t="n"/>
      <c r="R950" s="61" t="n"/>
      <c r="S950" s="61" t="n"/>
      <c r="T950" s="61" t="n"/>
      <c r="U950" s="61" t="n"/>
      <c r="V950" s="61" t="n"/>
      <c r="W950" s="61" t="n"/>
      <c r="X950" s="61" t="n"/>
      <c r="Y950" s="61" t="n"/>
      <c r="Z950" s="61" t="n"/>
      <c r="AA950" s="61" t="n"/>
      <c r="AB950" s="61" t="n"/>
      <c r="AC950" s="61" t="n"/>
      <c r="AD950" s="61" t="n"/>
      <c r="AE950" s="61" t="n"/>
      <c r="AF950" s="61" t="n"/>
      <c r="AG950" s="61" t="n"/>
      <c r="AH950" s="61" t="n"/>
    </row>
    <row r="951" ht="15.75" customHeight="1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  <c r="M951" s="61" t="n"/>
      <c r="N951" s="61" t="n"/>
      <c r="O951" s="61" t="n"/>
      <c r="P951" s="61" t="n"/>
      <c r="Q951" s="61" t="n"/>
      <c r="R951" s="61" t="n"/>
      <c r="S951" s="61" t="n"/>
      <c r="T951" s="61" t="n"/>
      <c r="U951" s="61" t="n"/>
      <c r="V951" s="61" t="n"/>
      <c r="W951" s="61" t="n"/>
      <c r="X951" s="61" t="n"/>
      <c r="Y951" s="61" t="n"/>
      <c r="Z951" s="61" t="n"/>
      <c r="AA951" s="61" t="n"/>
      <c r="AB951" s="61" t="n"/>
      <c r="AC951" s="61" t="n"/>
      <c r="AD951" s="61" t="n"/>
      <c r="AE951" s="61" t="n"/>
      <c r="AF951" s="61" t="n"/>
      <c r="AG951" s="61" t="n"/>
      <c r="AH951" s="61" t="n"/>
    </row>
    <row r="952" ht="15.75" customHeight="1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  <c r="M952" s="61" t="n"/>
      <c r="N952" s="61" t="n"/>
      <c r="O952" s="61" t="n"/>
      <c r="P952" s="61" t="n"/>
      <c r="Q952" s="61" t="n"/>
      <c r="R952" s="61" t="n"/>
      <c r="S952" s="61" t="n"/>
      <c r="T952" s="61" t="n"/>
      <c r="U952" s="61" t="n"/>
      <c r="V952" s="61" t="n"/>
      <c r="W952" s="61" t="n"/>
      <c r="X952" s="61" t="n"/>
      <c r="Y952" s="61" t="n"/>
      <c r="Z952" s="61" t="n"/>
      <c r="AA952" s="61" t="n"/>
      <c r="AB952" s="61" t="n"/>
      <c r="AC952" s="61" t="n"/>
      <c r="AD952" s="61" t="n"/>
      <c r="AE952" s="61" t="n"/>
      <c r="AF952" s="61" t="n"/>
      <c r="AG952" s="61" t="n"/>
      <c r="AH952" s="61" t="n"/>
    </row>
    <row r="953" ht="15.75" customHeight="1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  <c r="M953" s="61" t="n"/>
      <c r="N953" s="61" t="n"/>
      <c r="O953" s="61" t="n"/>
      <c r="P953" s="61" t="n"/>
      <c r="Q953" s="61" t="n"/>
      <c r="R953" s="61" t="n"/>
      <c r="S953" s="61" t="n"/>
      <c r="T953" s="61" t="n"/>
      <c r="U953" s="61" t="n"/>
      <c r="V953" s="61" t="n"/>
      <c r="W953" s="61" t="n"/>
      <c r="X953" s="61" t="n"/>
      <c r="Y953" s="61" t="n"/>
      <c r="Z953" s="61" t="n"/>
      <c r="AA953" s="61" t="n"/>
      <c r="AB953" s="61" t="n"/>
      <c r="AC953" s="61" t="n"/>
      <c r="AD953" s="61" t="n"/>
      <c r="AE953" s="61" t="n"/>
      <c r="AF953" s="61" t="n"/>
      <c r="AG953" s="61" t="n"/>
      <c r="AH953" s="61" t="n"/>
    </row>
    <row r="954" ht="15.75" customHeight="1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  <c r="M954" s="61" t="n"/>
      <c r="N954" s="61" t="n"/>
      <c r="O954" s="61" t="n"/>
      <c r="P954" s="61" t="n"/>
      <c r="Q954" s="61" t="n"/>
      <c r="R954" s="61" t="n"/>
      <c r="S954" s="61" t="n"/>
      <c r="T954" s="61" t="n"/>
      <c r="U954" s="61" t="n"/>
      <c r="V954" s="61" t="n"/>
      <c r="W954" s="61" t="n"/>
      <c r="X954" s="61" t="n"/>
      <c r="Y954" s="61" t="n"/>
      <c r="Z954" s="61" t="n"/>
      <c r="AA954" s="61" t="n"/>
      <c r="AB954" s="61" t="n"/>
      <c r="AC954" s="61" t="n"/>
      <c r="AD954" s="61" t="n"/>
      <c r="AE954" s="61" t="n"/>
      <c r="AF954" s="61" t="n"/>
      <c r="AG954" s="61" t="n"/>
      <c r="AH954" s="61" t="n"/>
    </row>
    <row r="955" ht="15.75" customHeight="1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  <c r="M955" s="61" t="n"/>
      <c r="N955" s="61" t="n"/>
      <c r="O955" s="61" t="n"/>
      <c r="P955" s="61" t="n"/>
      <c r="Q955" s="61" t="n"/>
      <c r="R955" s="61" t="n"/>
      <c r="S955" s="61" t="n"/>
      <c r="T955" s="61" t="n"/>
      <c r="U955" s="61" t="n"/>
      <c r="V955" s="61" t="n"/>
      <c r="W955" s="61" t="n"/>
      <c r="X955" s="61" t="n"/>
      <c r="Y955" s="61" t="n"/>
      <c r="Z955" s="61" t="n"/>
      <c r="AA955" s="61" t="n"/>
      <c r="AB955" s="61" t="n"/>
      <c r="AC955" s="61" t="n"/>
      <c r="AD955" s="61" t="n"/>
      <c r="AE955" s="61" t="n"/>
      <c r="AF955" s="61" t="n"/>
      <c r="AG955" s="61" t="n"/>
      <c r="AH955" s="61" t="n"/>
    </row>
    <row r="956" ht="15.75" customHeight="1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  <c r="M956" s="61" t="n"/>
      <c r="N956" s="61" t="n"/>
      <c r="O956" s="61" t="n"/>
      <c r="P956" s="61" t="n"/>
      <c r="Q956" s="61" t="n"/>
      <c r="R956" s="61" t="n"/>
      <c r="S956" s="61" t="n"/>
      <c r="T956" s="61" t="n"/>
      <c r="U956" s="61" t="n"/>
      <c r="V956" s="61" t="n"/>
      <c r="W956" s="61" t="n"/>
      <c r="X956" s="61" t="n"/>
      <c r="Y956" s="61" t="n"/>
      <c r="Z956" s="61" t="n"/>
      <c r="AA956" s="61" t="n"/>
      <c r="AB956" s="61" t="n"/>
      <c r="AC956" s="61" t="n"/>
      <c r="AD956" s="61" t="n"/>
      <c r="AE956" s="61" t="n"/>
      <c r="AF956" s="61" t="n"/>
      <c r="AG956" s="61" t="n"/>
      <c r="AH956" s="61" t="n"/>
    </row>
    <row r="957" ht="15.75" customHeight="1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  <c r="M957" s="61" t="n"/>
      <c r="N957" s="61" t="n"/>
      <c r="O957" s="61" t="n"/>
      <c r="P957" s="61" t="n"/>
      <c r="Q957" s="61" t="n"/>
      <c r="R957" s="61" t="n"/>
      <c r="S957" s="61" t="n"/>
      <c r="T957" s="61" t="n"/>
      <c r="U957" s="61" t="n"/>
      <c r="V957" s="61" t="n"/>
      <c r="W957" s="61" t="n"/>
      <c r="X957" s="61" t="n"/>
      <c r="Y957" s="61" t="n"/>
      <c r="Z957" s="61" t="n"/>
      <c r="AA957" s="61" t="n"/>
      <c r="AB957" s="61" t="n"/>
      <c r="AC957" s="61" t="n"/>
      <c r="AD957" s="61" t="n"/>
      <c r="AE957" s="61" t="n"/>
      <c r="AF957" s="61" t="n"/>
      <c r="AG957" s="61" t="n"/>
      <c r="AH957" s="61" t="n"/>
    </row>
    <row r="958" ht="15.75" customHeight="1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  <c r="M958" s="61" t="n"/>
      <c r="N958" s="61" t="n"/>
      <c r="O958" s="61" t="n"/>
      <c r="P958" s="61" t="n"/>
      <c r="Q958" s="61" t="n"/>
      <c r="R958" s="61" t="n"/>
      <c r="S958" s="61" t="n"/>
      <c r="T958" s="61" t="n"/>
      <c r="U958" s="61" t="n"/>
      <c r="V958" s="61" t="n"/>
      <c r="W958" s="61" t="n"/>
      <c r="X958" s="61" t="n"/>
      <c r="Y958" s="61" t="n"/>
      <c r="Z958" s="61" t="n"/>
      <c r="AA958" s="61" t="n"/>
      <c r="AB958" s="61" t="n"/>
      <c r="AC958" s="61" t="n"/>
      <c r="AD958" s="61" t="n"/>
      <c r="AE958" s="61" t="n"/>
      <c r="AF958" s="61" t="n"/>
      <c r="AG958" s="61" t="n"/>
      <c r="AH958" s="61" t="n"/>
    </row>
    <row r="959" ht="15.75" customHeight="1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  <c r="M959" s="61" t="n"/>
      <c r="N959" s="61" t="n"/>
      <c r="O959" s="61" t="n"/>
      <c r="P959" s="61" t="n"/>
      <c r="Q959" s="61" t="n"/>
      <c r="R959" s="61" t="n"/>
      <c r="S959" s="61" t="n"/>
      <c r="T959" s="61" t="n"/>
      <c r="U959" s="61" t="n"/>
      <c r="V959" s="61" t="n"/>
      <c r="W959" s="61" t="n"/>
      <c r="X959" s="61" t="n"/>
      <c r="Y959" s="61" t="n"/>
      <c r="Z959" s="61" t="n"/>
      <c r="AA959" s="61" t="n"/>
      <c r="AB959" s="61" t="n"/>
      <c r="AC959" s="61" t="n"/>
      <c r="AD959" s="61" t="n"/>
      <c r="AE959" s="61" t="n"/>
      <c r="AF959" s="61" t="n"/>
      <c r="AG959" s="61" t="n"/>
      <c r="AH959" s="6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2025-11-06T08:56:25Z</dcterms:created>
  <dcterms:modified xsi:type="dcterms:W3CDTF">2025-11-06T09:12:35Z</dcterms:modified>
</cp:coreProperties>
</file>