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asurements 70 units" sheetId="1" r:id="rId4"/>
    <sheet state="visible" name="Parking - Floors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F34">
      <text>
        <t xml:space="preserve">floor space is approx. 7k sf the remaining space is for driveway and open area</t>
      </text>
    </comment>
  </commentList>
</comments>
</file>

<file path=xl/sharedStrings.xml><?xml version="1.0" encoding="utf-8"?>
<sst xmlns="http://schemas.openxmlformats.org/spreadsheetml/2006/main" count="158" uniqueCount="119">
  <si>
    <t xml:space="preserve"> TOWER PER FLOOR</t>
  </si>
  <si>
    <t>Parking</t>
  </si>
  <si>
    <t>Mezanine</t>
  </si>
  <si>
    <t>FLOORS</t>
  </si>
  <si>
    <t>S-Hieght</t>
  </si>
  <si>
    <t>N-W Hght</t>
  </si>
  <si>
    <t>N-Hght</t>
  </si>
  <si>
    <t>WIDTH</t>
  </si>
  <si>
    <t>LENGTH</t>
  </si>
  <si>
    <t>Total SF Floor Plate</t>
  </si>
  <si>
    <t>Size of units</t>
  </si>
  <si>
    <t>Units / Floor</t>
  </si>
  <si>
    <t>USE</t>
  </si>
  <si>
    <t>Chabad SF</t>
  </si>
  <si>
    <t>Parking SF</t>
  </si>
  <si>
    <t>Storage Pods</t>
  </si>
  <si>
    <t>Gym - Amenities</t>
  </si>
  <si>
    <t>Pool SF</t>
  </si>
  <si>
    <t>Commercial SF</t>
  </si>
  <si>
    <t>Building Empty SF</t>
  </si>
  <si>
    <t>Residential SF</t>
  </si>
  <si>
    <t>1st floor Lobby</t>
  </si>
  <si>
    <t>Commercial</t>
  </si>
  <si>
    <t xml:space="preserve">Convience Shops / Boutique </t>
  </si>
  <si>
    <t>2nd floor</t>
  </si>
  <si>
    <t>Chabad</t>
  </si>
  <si>
    <t>Synagogue</t>
  </si>
  <si>
    <t>3rd floor</t>
  </si>
  <si>
    <t>4th floor</t>
  </si>
  <si>
    <t>5th floor</t>
  </si>
  <si>
    <t>Residential Apartments</t>
  </si>
  <si>
    <t>Res. Flex 3-4 bed/2bath - sleep 12</t>
  </si>
  <si>
    <t>Res. Flex 3-4 bed/2bath - sleep 10</t>
  </si>
  <si>
    <t>Penthouse</t>
  </si>
  <si>
    <t>roof top</t>
  </si>
  <si>
    <t>Pool/Dead Sea Float Mini-Spa</t>
  </si>
  <si>
    <t>Total</t>
  </si>
  <si>
    <t>T-Hieght</t>
  </si>
  <si>
    <t>T-SF</t>
  </si>
  <si>
    <t>Chabad /Mikvah</t>
  </si>
  <si>
    <t>Total Usable Space</t>
  </si>
  <si>
    <t>Parking Spaces Provided</t>
  </si>
  <si>
    <t>EV Stations Provided</t>
  </si>
  <si>
    <t>ADA Parking Provided</t>
  </si>
  <si>
    <t>General envelope limitations</t>
  </si>
  <si>
    <t>Zonning T6-24 form base code</t>
  </si>
  <si>
    <t>Width</t>
  </si>
  <si>
    <t>Mezzanine</t>
  </si>
  <si>
    <t>Lentgh</t>
  </si>
  <si>
    <t>Total SqFt</t>
  </si>
  <si>
    <t>Acreage</t>
  </si>
  <si>
    <t>Residential Units per Acre</t>
  </si>
  <si>
    <t>Residential Units allowed</t>
  </si>
  <si>
    <t>90% max coverage</t>
  </si>
  <si>
    <t>10% Free Air Space space</t>
  </si>
  <si>
    <t>Work Force Housing, 80% of Income</t>
  </si>
  <si>
    <t>Common Areas</t>
  </si>
  <si>
    <t>Lot Size</t>
  </si>
  <si>
    <t>50% of Ground floor</t>
  </si>
  <si>
    <t>15% or Less</t>
  </si>
  <si>
    <t>PARKING REQUIREMENTS</t>
  </si>
  <si>
    <t>INTENSITY</t>
  </si>
  <si>
    <t>Parking Residential</t>
  </si>
  <si>
    <t>Synagogue Parking</t>
  </si>
  <si>
    <t>Commercial Parking</t>
  </si>
  <si>
    <t>Hotel Parking</t>
  </si>
  <si>
    <t>Total Parking spaces required</t>
  </si>
  <si>
    <t>Parking Space measures</t>
  </si>
  <si>
    <t>Driving lanes</t>
  </si>
  <si>
    <t>Day Care Parking</t>
  </si>
  <si>
    <t>Hotel Density / Intensity</t>
  </si>
  <si>
    <t>1 per unit + Visitors 1 per 10 units = 76</t>
  </si>
  <si>
    <t>1 space for every 5 chairs = 20</t>
  </si>
  <si>
    <t>1k sf = 3 spaces</t>
  </si>
  <si>
    <t>2 rooms = 1 space + 1 space for every 15 rooms</t>
  </si>
  <si>
    <t>9' x 15'</t>
  </si>
  <si>
    <t>13'</t>
  </si>
  <si>
    <t>2 spaces per 1k sf</t>
  </si>
  <si>
    <t>no restrictions</t>
  </si>
  <si>
    <t>120 spaces</t>
  </si>
  <si>
    <t>3530 sqft</t>
  </si>
  <si>
    <t>180 units</t>
  </si>
  <si>
    <t>General Restrictions</t>
  </si>
  <si>
    <t>Max building envelope = 13 x Lot size (20,000) = 260kSF  (floor lot ratio)</t>
  </si>
  <si>
    <t xml:space="preserve">There is no Density restriction for Lodging </t>
  </si>
  <si>
    <t xml:space="preserve">Loading zone = 420 sf, 12x35 ft w/clearance 15th ft </t>
  </si>
  <si>
    <t>Waiver needed for 5' Rear setback from 15'</t>
  </si>
  <si>
    <t>Ground floor hieght minimum 20'</t>
  </si>
  <si>
    <t>BulkHead for Elevator and Stairs do not count as structure on Roof - does not decrease the Hieght Allowance of 240'</t>
  </si>
  <si>
    <t>Lounge Area with Small Kitchen area does not count as structure - does not decrease the Hieght Allowance of 240'</t>
  </si>
  <si>
    <t>Setbacks / Floor plate Gross sf</t>
  </si>
  <si>
    <t>SETBACKS</t>
  </si>
  <si>
    <t>1-5 floor</t>
  </si>
  <si>
    <t xml:space="preserve">Mezzanine </t>
  </si>
  <si>
    <t>6-14 Floor</t>
  </si>
  <si>
    <t>15-24</t>
  </si>
  <si>
    <t>Totals</t>
  </si>
  <si>
    <t>Side 1</t>
  </si>
  <si>
    <t>Side 2</t>
  </si>
  <si>
    <t>Front</t>
  </si>
  <si>
    <t>Rear</t>
  </si>
  <si>
    <t>Floor Count</t>
  </si>
  <si>
    <t>Set Back SF</t>
  </si>
  <si>
    <t>Floor Plate Measurent</t>
  </si>
  <si>
    <t>88.75 x 178.75</t>
  </si>
  <si>
    <t>37.75 x 93.5</t>
  </si>
  <si>
    <t>70 x 160</t>
  </si>
  <si>
    <t>60 x 150</t>
  </si>
  <si>
    <t>Floor Plate SF</t>
  </si>
  <si>
    <t>Total Building SF</t>
  </si>
  <si>
    <t>Total Misc Ground floor</t>
  </si>
  <si>
    <t>Total Chabad / Mikvah</t>
  </si>
  <si>
    <t>Total Parking - 3 floors SF</t>
  </si>
  <si>
    <t>Total Pool - Sauna</t>
  </si>
  <si>
    <t>Total Residential/Lodging</t>
  </si>
  <si>
    <t>After the review of the fire consultant it was clear that a mezzanine area will not be beneficial.</t>
  </si>
  <si>
    <t>No Mezzanine</t>
  </si>
  <si>
    <t>Actual Ground Floor space</t>
  </si>
  <si>
    <t>Maximum envelope is 260k sf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</si>
</sst>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"/>
    <numFmt numFmtId="165" formatCode="_(* #,##0_);_(* \(#,##0\);_(* &quot;-&quot;??_);_(@_)"/>
    <numFmt numFmtId="166" formatCode="0.0%"/>
    <numFmt numFmtId="167" formatCode="_(* #,##0_);_(* \(#,##0\);_(* &quot;-&quot;?_);_(@_)"/>
  </numFmts>
  <fonts count="16">
    <font>
      <sz val="10.0"/>
      <color rgb="FF000000"/>
      <name val="Arial"/>
      <scheme val="minor"/>
    </font>
    <font>
      <sz val="12.0"/>
      <color rgb="FFFFFFFF"/>
      <name val="Calibri"/>
    </font>
    <font/>
    <font>
      <sz val="11.0"/>
      <color theme="1"/>
      <name val="Arial"/>
    </font>
    <font>
      <sz val="11.0"/>
      <color theme="1"/>
      <name val="Calibri"/>
    </font>
    <font>
      <b/>
      <sz val="10.0"/>
      <color theme="1"/>
      <name val="Calibri"/>
    </font>
    <font>
      <b/>
      <sz val="10.0"/>
      <color theme="1"/>
      <name val="Arial"/>
    </font>
    <font>
      <b/>
      <sz val="10.0"/>
      <color theme="1"/>
      <name val="Arial"/>
      <scheme val="minor"/>
    </font>
    <font>
      <b/>
      <sz val="9.0"/>
      <color theme="1"/>
      <name val="Arial"/>
    </font>
    <font>
      <sz val="12.0"/>
      <color theme="1"/>
      <name val="Calibri"/>
    </font>
    <font>
      <b/>
      <sz val="14.0"/>
      <color theme="1"/>
      <name val="Calibri"/>
    </font>
    <font>
      <sz val="14.0"/>
      <color theme="1"/>
      <name val="Arial"/>
    </font>
    <font>
      <b/>
      <sz val="11.0"/>
      <color theme="1"/>
      <name val="Arial"/>
    </font>
    <font>
      <b/>
      <sz val="11.0"/>
      <color theme="1"/>
      <name val="Calibri"/>
    </font>
    <font>
      <b/>
      <sz val="12.0"/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8EAADB"/>
        <bgColor rgb="FF8EAADB"/>
      </patternFill>
    </fill>
    <fill>
      <patternFill patternType="solid">
        <fgColor theme="6"/>
        <bgColor theme="6"/>
      </patternFill>
    </fill>
    <fill>
      <patternFill patternType="solid">
        <fgColor rgb="FFCFE2F3"/>
        <bgColor rgb="FFCFE2F3"/>
      </patternFill>
    </fill>
    <fill>
      <patternFill patternType="solid">
        <fgColor rgb="FFBDD6EE"/>
        <bgColor rgb="FFBDD6EE"/>
      </patternFill>
    </fill>
    <fill>
      <patternFill patternType="solid">
        <fgColor rgb="FFFFF2CC"/>
        <bgColor rgb="FFFFF2CC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1" xfId="0" applyFont="1" applyNumberFormat="1"/>
    <xf borderId="0" fillId="0" fontId="4" numFmtId="3" xfId="0" applyFont="1" applyNumberFormat="1"/>
    <xf borderId="0" fillId="0" fontId="5" numFmtId="0" xfId="0" applyAlignment="1" applyFont="1">
      <alignment horizontal="center" shrinkToFit="0" wrapText="1"/>
    </xf>
    <xf borderId="0" fillId="0" fontId="6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center" shrinkToFit="0" wrapText="1"/>
    </xf>
    <xf borderId="0" fillId="0" fontId="5" numFmtId="1" xfId="0" applyAlignment="1" applyFont="1" applyNumberFormat="1">
      <alignment horizontal="center" shrinkToFit="0" wrapText="1"/>
    </xf>
    <xf borderId="0" fillId="0" fontId="6" numFmtId="0" xfId="0" applyFont="1"/>
    <xf borderId="0" fillId="0" fontId="7" numFmtId="0" xfId="0" applyFont="1"/>
    <xf borderId="0" fillId="0" fontId="5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horizontal="center" readingOrder="0" shrinkToFit="0" wrapText="1"/>
    </xf>
    <xf borderId="0" fillId="0" fontId="9" numFmtId="0" xfId="0" applyAlignment="1" applyFont="1">
      <alignment horizontal="center" readingOrder="0" shrinkToFit="0" wrapText="1"/>
    </xf>
    <xf borderId="0" fillId="0" fontId="4" numFmtId="3" xfId="0" applyAlignment="1" applyFont="1" applyNumberFormat="1">
      <alignment horizontal="center"/>
    </xf>
    <xf borderId="0" fillId="0" fontId="4" numFmtId="3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3" numFmtId="3" xfId="0" applyFont="1" applyNumberFormat="1"/>
    <xf borderId="0" fillId="0" fontId="9" numFmtId="0" xfId="0" applyAlignment="1" applyFont="1">
      <alignment horizontal="center" shrinkToFit="0" wrapText="1"/>
    </xf>
    <xf borderId="0" fillId="0" fontId="3" numFmtId="3" xfId="0" applyAlignment="1" applyFont="1" applyNumberFormat="1">
      <alignment horizontal="center" readingOrder="0"/>
    </xf>
    <xf borderId="0" fillId="0" fontId="4" numFmtId="4" xfId="0" applyAlignment="1" applyFont="1" applyNumberFormat="1">
      <alignment horizontal="center" readingOrder="0"/>
    </xf>
    <xf borderId="0" fillId="0" fontId="3" numFmtId="1" xfId="0" applyAlignment="1" applyFont="1" applyNumberFormat="1">
      <alignment readingOrder="0"/>
    </xf>
    <xf borderId="0" fillId="0" fontId="4" numFmtId="1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3" xfId="0" applyAlignment="1" applyFont="1" applyNumberFormat="1">
      <alignment horizontal="center"/>
    </xf>
    <xf borderId="0" fillId="0" fontId="10" numFmtId="0" xfId="0" applyAlignment="1" applyFont="1">
      <alignment horizontal="center" shrinkToFit="0" wrapText="1"/>
    </xf>
    <xf borderId="0" fillId="0" fontId="10" numFmtId="164" xfId="0" applyAlignment="1" applyFont="1" applyNumberFormat="1">
      <alignment horizontal="center"/>
    </xf>
    <xf borderId="0" fillId="0" fontId="11" numFmtId="0" xfId="0" applyFont="1"/>
    <xf borderId="0" fillId="0" fontId="10" numFmtId="3" xfId="0" applyAlignment="1" applyFont="1" applyNumberFormat="1">
      <alignment horizontal="center"/>
    </xf>
    <xf borderId="0" fillId="0" fontId="12" numFmtId="0" xfId="0" applyFont="1"/>
    <xf borderId="0" fillId="0" fontId="3" numFmtId="0" xfId="0" applyAlignment="1" applyFont="1">
      <alignment horizontal="center" shrinkToFit="0" wrapText="1"/>
    </xf>
    <xf borderId="0" fillId="0" fontId="13" numFmtId="0" xfId="0" applyAlignment="1" applyFont="1">
      <alignment readingOrder="0"/>
    </xf>
    <xf borderId="0" fillId="0" fontId="10" numFmtId="3" xfId="0" applyAlignment="1" applyFont="1" applyNumberFormat="1">
      <alignment horizontal="center" readingOrder="0"/>
    </xf>
    <xf borderId="0" fillId="0" fontId="14" numFmtId="3" xfId="0" applyFont="1" applyNumberFormat="1"/>
    <xf borderId="0" fillId="3" fontId="12" numFmtId="0" xfId="0" applyAlignment="1" applyFill="1" applyFont="1">
      <alignment horizontal="center" shrinkToFit="0" wrapText="1"/>
    </xf>
    <xf borderId="0" fillId="3" fontId="12" numFmtId="0" xfId="0" applyAlignment="1" applyFont="1">
      <alignment horizontal="center" readingOrder="0" shrinkToFit="0" wrapText="1"/>
    </xf>
    <xf borderId="0" fillId="0" fontId="12" numFmtId="0" xfId="0" applyAlignment="1" applyFont="1">
      <alignment horizontal="center" shrinkToFit="0" wrapText="1"/>
    </xf>
    <xf borderId="0" fillId="4" fontId="12" numFmtId="0" xfId="0" applyAlignment="1" applyFill="1" applyFont="1">
      <alignment horizontal="center" readingOrder="0" shrinkToFit="0" wrapText="1"/>
    </xf>
    <xf borderId="0" fillId="0" fontId="12" numFmtId="0" xfId="0" applyAlignment="1" applyFont="1">
      <alignment horizontal="center" readingOrder="0" shrinkToFit="0" wrapText="1"/>
    </xf>
    <xf borderId="0" fillId="0" fontId="12" numFmtId="165" xfId="0" applyAlignment="1" applyFont="1" applyNumberFormat="1">
      <alignment horizontal="center" shrinkToFit="0" wrapText="1"/>
    </xf>
    <xf borderId="0" fillId="0" fontId="12" numFmtId="166" xfId="0" applyAlignment="1" applyFont="1" applyNumberFormat="1">
      <alignment horizontal="center" shrinkToFit="0" wrapText="1"/>
    </xf>
    <xf borderId="0" fillId="0" fontId="12" numFmtId="1" xfId="0" applyAlignment="1" applyFont="1" applyNumberFormat="1">
      <alignment horizontal="center" shrinkToFit="0" wrapText="1"/>
    </xf>
    <xf borderId="0" fillId="0" fontId="12" numFmtId="167" xfId="0" applyAlignment="1" applyFont="1" applyNumberFormat="1">
      <alignment horizontal="center" shrinkToFit="0" wrapText="1"/>
    </xf>
    <xf borderId="0" fillId="0" fontId="12" numFmtId="9" xfId="0" applyAlignment="1" applyFont="1" applyNumberFormat="1">
      <alignment horizontal="center" shrinkToFit="0" wrapText="1"/>
    </xf>
    <xf borderId="4" fillId="3" fontId="12" numFmtId="0" xfId="0" applyAlignment="1" applyBorder="1" applyFont="1">
      <alignment horizontal="center" shrinkToFit="0" wrapText="1"/>
    </xf>
    <xf borderId="4" fillId="3" fontId="3" numFmtId="165" xfId="0" applyBorder="1" applyFont="1" applyNumberFormat="1"/>
    <xf borderId="4" fillId="3" fontId="12" numFmtId="165" xfId="0" applyBorder="1" applyFont="1" applyNumberFormat="1"/>
    <xf borderId="4" fillId="3" fontId="12" numFmtId="166" xfId="0" applyBorder="1" applyFont="1" applyNumberFormat="1"/>
    <xf borderId="4" fillId="3" fontId="12" numFmtId="0" xfId="0" applyBorder="1" applyFont="1"/>
    <xf borderId="4" fillId="3" fontId="12" numFmtId="1" xfId="0" applyBorder="1" applyFont="1" applyNumberFormat="1"/>
    <xf borderId="4" fillId="3" fontId="12" numFmtId="167" xfId="0" applyBorder="1" applyFont="1" applyNumberFormat="1"/>
    <xf borderId="0" fillId="4" fontId="12" numFmtId="0" xfId="0" applyAlignment="1" applyFont="1">
      <alignment horizontal="center" shrinkToFit="0" wrapText="1"/>
    </xf>
    <xf borderId="0" fillId="4" fontId="12" numFmtId="0" xfId="0" applyFont="1"/>
    <xf borderId="5" fillId="0" fontId="12" numFmtId="0" xfId="0" applyAlignment="1" applyBorder="1" applyFont="1">
      <alignment horizontal="center" shrinkToFit="0" wrapText="1"/>
    </xf>
    <xf borderId="6" fillId="0" fontId="12" numFmtId="0" xfId="0" applyAlignment="1" applyBorder="1" applyFont="1">
      <alignment horizontal="center" shrinkToFit="0" wrapText="1"/>
    </xf>
    <xf borderId="6" fillId="0" fontId="12" numFmtId="0" xfId="0" applyAlignment="1" applyBorder="1" applyFont="1">
      <alignment horizontal="center" readingOrder="0" shrinkToFit="0" wrapText="1"/>
    </xf>
    <xf borderId="7" fillId="0" fontId="12" numFmtId="0" xfId="0" applyAlignment="1" applyBorder="1" applyFont="1">
      <alignment horizontal="center" shrinkToFit="0" wrapText="1"/>
    </xf>
    <xf borderId="8" fillId="0" fontId="12" numFmtId="0" xfId="0" applyAlignment="1" applyBorder="1" applyFont="1">
      <alignment horizontal="center" shrinkToFit="0" wrapText="1"/>
    </xf>
    <xf borderId="9" fillId="0" fontId="12" numFmtId="0" xfId="0" applyAlignment="1" applyBorder="1" applyFont="1">
      <alignment horizontal="center" shrinkToFit="0" wrapText="1"/>
    </xf>
    <xf borderId="8" fillId="5" fontId="12" numFmtId="1" xfId="0" applyAlignment="1" applyBorder="1" applyFill="1" applyFont="1" applyNumberFormat="1">
      <alignment horizontal="center"/>
    </xf>
    <xf borderId="0" fillId="5" fontId="12" numFmtId="0" xfId="0" applyAlignment="1" applyFont="1">
      <alignment horizontal="center" readingOrder="0"/>
    </xf>
    <xf borderId="0" fillId="5" fontId="12" numFmtId="1" xfId="0" applyAlignment="1" applyFont="1" applyNumberFormat="1">
      <alignment horizontal="center" readingOrder="0"/>
    </xf>
    <xf borderId="0" fillId="5" fontId="12" numFmtId="1" xfId="0" applyAlignment="1" applyFont="1" applyNumberFormat="1">
      <alignment horizontal="center"/>
    </xf>
    <xf borderId="0" fillId="5" fontId="12" numFmtId="165" xfId="0" applyAlignment="1" applyFont="1" applyNumberFormat="1">
      <alignment horizontal="center"/>
    </xf>
    <xf borderId="0" fillId="5" fontId="3" numFmtId="0" xfId="0" applyAlignment="1" applyFont="1">
      <alignment horizontal="center"/>
    </xf>
    <xf borderId="9" fillId="5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15" numFmtId="0" xfId="0" applyAlignment="1" applyFont="1">
      <alignment horizontal="center"/>
    </xf>
    <xf borderId="8" fillId="0" fontId="12" numFmtId="1" xfId="0" applyAlignment="1" applyBorder="1" applyFont="1" applyNumberFormat="1">
      <alignment horizontal="center"/>
    </xf>
    <xf borderId="0" fillId="0" fontId="12" numFmtId="0" xfId="0" applyAlignment="1" applyFont="1">
      <alignment horizontal="center" readingOrder="0"/>
    </xf>
    <xf borderId="0" fillId="0" fontId="12" numFmtId="1" xfId="0" applyAlignment="1" applyFont="1" applyNumberFormat="1">
      <alignment horizontal="center" readingOrder="0"/>
    </xf>
    <xf borderId="0" fillId="0" fontId="12" numFmtId="1" xfId="0" applyAlignment="1" applyFont="1" applyNumberFormat="1">
      <alignment horizontal="center"/>
    </xf>
    <xf borderId="0" fillId="0" fontId="12" numFmtId="165" xfId="0" applyAlignment="1" applyFont="1" applyNumberFormat="1">
      <alignment horizontal="center"/>
    </xf>
    <xf borderId="9" fillId="0" fontId="3" numFmtId="0" xfId="0" applyAlignment="1" applyBorder="1" applyFont="1">
      <alignment horizontal="center"/>
    </xf>
    <xf borderId="10" fillId="0" fontId="12" numFmtId="1" xfId="0" applyAlignment="1" applyBorder="1" applyFont="1" applyNumberFormat="1">
      <alignment horizontal="center"/>
    </xf>
    <xf borderId="11" fillId="0" fontId="12" numFmtId="0" xfId="0" applyAlignment="1" applyBorder="1" applyFont="1">
      <alignment horizontal="center"/>
    </xf>
    <xf borderId="11" fillId="0" fontId="12" numFmtId="1" xfId="0" applyAlignment="1" applyBorder="1" applyFont="1" applyNumberFormat="1">
      <alignment horizontal="center"/>
    </xf>
    <xf borderId="11" fillId="0" fontId="12" numFmtId="165" xfId="0" applyAlignment="1" applyBorder="1" applyFont="1" applyNumberFormat="1">
      <alignment horizontal="center"/>
    </xf>
    <xf borderId="11" fillId="0" fontId="3" numFmtId="0" xfId="0" applyAlignment="1" applyBorder="1" applyFont="1">
      <alignment horizontal="center"/>
    </xf>
    <xf borderId="12" fillId="0" fontId="3" numFmtId="0" xfId="0" applyAlignment="1" applyBorder="1" applyFont="1">
      <alignment horizontal="center"/>
    </xf>
    <xf borderId="0" fillId="3" fontId="15" numFmtId="0" xfId="0" applyFont="1"/>
    <xf borderId="0" fillId="3" fontId="3" numFmtId="0" xfId="0" applyFont="1"/>
    <xf borderId="0" fillId="4" fontId="12" numFmtId="0" xfId="0" applyAlignment="1" applyFont="1">
      <alignment horizontal="center" readingOrder="0"/>
    </xf>
    <xf borderId="0" fillId="4" fontId="3" numFmtId="0" xfId="0" applyFont="1"/>
    <xf borderId="0" fillId="0" fontId="12" numFmtId="0" xfId="0" applyAlignment="1" applyFont="1">
      <alignment readingOrder="0"/>
    </xf>
    <xf borderId="0" fillId="3" fontId="12" numFmtId="0" xfId="0" applyAlignment="1" applyFont="1">
      <alignment horizontal="center"/>
    </xf>
    <xf borderId="0" fillId="3" fontId="12" numFmtId="16" xfId="0" applyAlignment="1" applyFont="1" applyNumberFormat="1">
      <alignment horizontal="center"/>
    </xf>
    <xf borderId="0" fillId="3" fontId="12" numFmtId="0" xfId="0" applyAlignment="1" applyFont="1">
      <alignment horizontal="center" readingOrder="0"/>
    </xf>
    <xf borderId="0" fillId="4" fontId="15" numFmtId="0" xfId="0" applyFont="1"/>
    <xf borderId="0" fillId="0" fontId="12" numFmtId="0" xfId="0" applyAlignment="1" applyFont="1">
      <alignment horizontal="center"/>
    </xf>
    <xf borderId="0" fillId="0" fontId="12" numFmtId="16" xfId="0" applyAlignment="1" applyFont="1" applyNumberFormat="1">
      <alignment horizontal="center"/>
    </xf>
    <xf borderId="0" fillId="0" fontId="3" numFmtId="165" xfId="0" applyFont="1" applyNumberFormat="1"/>
    <xf borderId="0" fillId="0" fontId="12" numFmtId="165" xfId="0" applyFont="1" applyNumberFormat="1"/>
    <xf borderId="0" fillId="0" fontId="3" numFmtId="0" xfId="0" applyAlignment="1" applyFont="1">
      <alignment horizontal="center" readingOrder="0"/>
    </xf>
    <xf borderId="4" fillId="6" fontId="12" numFmtId="0" xfId="0" applyAlignment="1" applyBorder="1" applyFill="1" applyFont="1">
      <alignment horizontal="center" shrinkToFit="0" wrapText="1"/>
    </xf>
    <xf borderId="4" fillId="6" fontId="12" numFmtId="165" xfId="0" applyBorder="1" applyFont="1" applyNumberFormat="1"/>
    <xf borderId="0" fillId="0" fontId="12" numFmtId="0" xfId="0" applyAlignment="1" applyFont="1">
      <alignment horizontal="left" readingOrder="0"/>
    </xf>
    <xf borderId="0" fillId="0" fontId="1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7" fontId="3" numFmtId="0" xfId="0" applyAlignment="1" applyFill="1" applyFont="1">
      <alignment horizontal="center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75"/>
    <col customWidth="1" min="2" max="2" width="7.75"/>
    <col customWidth="1" min="3" max="3" width="9.25"/>
    <col customWidth="1" min="4" max="4" width="6.63"/>
    <col customWidth="1" min="5" max="5" width="8.0"/>
    <col customWidth="1" min="6" max="6" width="8.88"/>
    <col customWidth="1" min="7" max="7" width="9.25"/>
    <col customWidth="1" min="8" max="8" width="8.0"/>
    <col customWidth="1" min="9" max="9" width="6.88"/>
    <col customWidth="1" min="10" max="10" width="18.63"/>
    <col customWidth="1" min="11" max="11" width="26.75"/>
    <col customWidth="1" min="12" max="12" width="8.5"/>
    <col customWidth="1" min="13" max="14" width="7.5"/>
    <col customWidth="1" min="15" max="15" width="8.13"/>
    <col customWidth="1" min="16" max="16" width="7.75"/>
    <col customWidth="1" min="17" max="17" width="9.75"/>
    <col customWidth="1" min="18" max="19" width="9.0"/>
    <col customWidth="1" min="20" max="20" width="13.75"/>
    <col customWidth="1" min="21" max="21" width="8.0"/>
    <col customWidth="1" min="22" max="30" width="8.63"/>
  </cols>
  <sheetData>
    <row r="1" ht="14.25" customHeight="1">
      <c r="A1" s="1" t="s">
        <v>0</v>
      </c>
      <c r="B1" s="2"/>
      <c r="C1" s="2"/>
      <c r="D1" s="2"/>
      <c r="E1" s="2"/>
      <c r="F1" s="3"/>
      <c r="G1" s="4"/>
      <c r="H1" s="5"/>
      <c r="I1" s="6"/>
      <c r="J1" s="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4.25" customHeight="1">
      <c r="A2" s="7"/>
      <c r="B2" s="8" t="s">
        <v>1</v>
      </c>
      <c r="C2" s="8" t="s">
        <v>2</v>
      </c>
      <c r="D2" s="8"/>
      <c r="E2" s="9"/>
      <c r="F2" s="7"/>
      <c r="G2" s="7"/>
      <c r="H2" s="7"/>
      <c r="I2" s="10"/>
      <c r="J2" s="7"/>
      <c r="K2" s="7"/>
      <c r="L2" s="9"/>
      <c r="M2" s="9"/>
      <c r="N2" s="8"/>
      <c r="O2" s="8"/>
      <c r="P2" s="9"/>
      <c r="Q2" s="9"/>
      <c r="R2" s="9"/>
      <c r="S2" s="9"/>
      <c r="T2" s="11"/>
      <c r="U2" s="11"/>
      <c r="V2" s="11"/>
      <c r="W2" s="11"/>
      <c r="X2" s="11"/>
      <c r="Y2" s="11"/>
      <c r="Z2" s="11"/>
      <c r="AA2" s="11"/>
      <c r="AB2" s="11"/>
      <c r="AC2" s="11"/>
      <c r="AD2" s="12"/>
    </row>
    <row r="3" ht="14.25" customHeight="1">
      <c r="A3" s="7" t="s">
        <v>3</v>
      </c>
      <c r="B3" s="8" t="s">
        <v>4</v>
      </c>
      <c r="C3" s="8" t="s">
        <v>5</v>
      </c>
      <c r="D3" s="8" t="s">
        <v>6</v>
      </c>
      <c r="E3" s="9" t="s">
        <v>7</v>
      </c>
      <c r="F3" s="7" t="s">
        <v>8</v>
      </c>
      <c r="G3" s="13" t="s">
        <v>9</v>
      </c>
      <c r="H3" s="7" t="s">
        <v>10</v>
      </c>
      <c r="I3" s="10" t="s">
        <v>11</v>
      </c>
      <c r="J3" s="7" t="s">
        <v>12</v>
      </c>
      <c r="K3" s="7" t="s">
        <v>12</v>
      </c>
      <c r="L3" s="14" t="s">
        <v>13</v>
      </c>
      <c r="M3" s="14" t="s">
        <v>14</v>
      </c>
      <c r="N3" s="15" t="s">
        <v>15</v>
      </c>
      <c r="O3" s="15" t="s">
        <v>16</v>
      </c>
      <c r="P3" s="14" t="s">
        <v>17</v>
      </c>
      <c r="Q3" s="14" t="s">
        <v>18</v>
      </c>
      <c r="R3" s="15" t="s">
        <v>19</v>
      </c>
      <c r="S3" s="14" t="s">
        <v>20</v>
      </c>
      <c r="T3" s="11"/>
      <c r="U3" s="11"/>
      <c r="V3" s="11"/>
      <c r="W3" s="11"/>
      <c r="X3" s="11"/>
      <c r="Y3" s="11"/>
      <c r="Z3" s="11"/>
      <c r="AA3" s="11"/>
      <c r="AB3" s="11"/>
      <c r="AC3" s="11"/>
      <c r="AD3" s="12"/>
    </row>
    <row r="4" ht="14.25" customHeight="1">
      <c r="A4" s="16" t="s">
        <v>21</v>
      </c>
      <c r="D4" s="17">
        <v>20.0</v>
      </c>
      <c r="E4" s="17">
        <v>70.0</v>
      </c>
      <c r="F4" s="18">
        <v>180.0</v>
      </c>
      <c r="G4" s="6">
        <f t="shared" ref="G4:G27" si="1">F4*E4</f>
        <v>12600</v>
      </c>
      <c r="H4" s="6">
        <f>G4/I4/2</f>
        <v>3150</v>
      </c>
      <c r="I4" s="19">
        <v>2.0</v>
      </c>
      <c r="J4" s="20" t="s">
        <v>22</v>
      </c>
      <c r="K4" s="20" t="s">
        <v>23</v>
      </c>
      <c r="M4" s="21"/>
      <c r="N4" s="21"/>
      <c r="O4" s="21"/>
      <c r="P4" s="21"/>
      <c r="Q4" s="21">
        <f>H4*2</f>
        <v>6300</v>
      </c>
      <c r="R4" s="21">
        <f>G4-Q4</f>
        <v>6300</v>
      </c>
      <c r="S4" s="21"/>
      <c r="T4" s="4"/>
      <c r="U4" s="4"/>
      <c r="V4" s="4"/>
      <c r="W4" s="4"/>
      <c r="X4" s="4"/>
      <c r="Y4" s="4"/>
      <c r="Z4" s="4"/>
      <c r="AA4" s="4"/>
      <c r="AB4" s="4"/>
      <c r="AC4" s="4"/>
    </row>
    <row r="5" ht="14.25" customHeight="1">
      <c r="A5" s="22" t="s">
        <v>24</v>
      </c>
      <c r="B5" s="23"/>
      <c r="C5" s="23"/>
      <c r="D5" s="24">
        <v>12.0</v>
      </c>
      <c r="E5" s="17">
        <v>90.0</v>
      </c>
      <c r="F5" s="18">
        <v>180.0</v>
      </c>
      <c r="G5" s="6">
        <f t="shared" si="1"/>
        <v>16200</v>
      </c>
      <c r="H5" s="6">
        <f t="shared" ref="H5:H24" si="2">G5/I5</f>
        <v>16200</v>
      </c>
      <c r="I5" s="25">
        <v>1.0</v>
      </c>
      <c r="J5" s="20" t="s">
        <v>25</v>
      </c>
      <c r="K5" s="20" t="s">
        <v>26</v>
      </c>
      <c r="L5" s="21">
        <f>H5</f>
        <v>16200</v>
      </c>
      <c r="M5" s="21"/>
      <c r="N5" s="21"/>
      <c r="O5" s="21"/>
      <c r="P5" s="21"/>
      <c r="Q5" s="21"/>
      <c r="R5" s="21"/>
      <c r="S5" s="21"/>
      <c r="T5" s="4"/>
      <c r="U5" s="4"/>
      <c r="V5" s="4"/>
      <c r="W5" s="4"/>
      <c r="X5" s="4"/>
      <c r="Y5" s="4"/>
      <c r="Z5" s="4"/>
      <c r="AA5" s="4"/>
      <c r="AB5" s="4"/>
      <c r="AC5" s="4"/>
    </row>
    <row r="6" ht="14.25" customHeight="1">
      <c r="A6" s="22" t="s">
        <v>27</v>
      </c>
      <c r="C6" s="23"/>
      <c r="D6" s="24">
        <v>8.25</v>
      </c>
      <c r="E6" s="17">
        <v>90.0</v>
      </c>
      <c r="F6" s="18">
        <v>180.0</v>
      </c>
      <c r="G6" s="6">
        <f t="shared" si="1"/>
        <v>16200</v>
      </c>
      <c r="H6" s="6">
        <f t="shared" si="2"/>
        <v>317.6470588</v>
      </c>
      <c r="I6" s="25">
        <v>51.0</v>
      </c>
      <c r="J6" s="20" t="s">
        <v>1</v>
      </c>
      <c r="K6" s="20" t="s">
        <v>1</v>
      </c>
      <c r="L6" s="21"/>
      <c r="M6" s="21">
        <f t="shared" ref="M6:M8" si="3">G6</f>
        <v>16200</v>
      </c>
      <c r="N6" s="21"/>
      <c r="O6" s="21"/>
      <c r="P6" s="21"/>
      <c r="Q6" s="21"/>
      <c r="R6" s="21"/>
      <c r="S6" s="21"/>
      <c r="T6" s="4"/>
      <c r="U6" s="4"/>
      <c r="V6" s="4"/>
      <c r="W6" s="4"/>
      <c r="X6" s="4"/>
      <c r="Y6" s="4"/>
      <c r="Z6" s="4"/>
      <c r="AA6" s="4"/>
      <c r="AB6" s="4"/>
      <c r="AC6" s="4"/>
    </row>
    <row r="7" ht="14.25" customHeight="1">
      <c r="A7" s="16" t="s">
        <v>28</v>
      </c>
      <c r="C7" s="23"/>
      <c r="D7" s="24">
        <v>8.25</v>
      </c>
      <c r="E7" s="17">
        <v>90.0</v>
      </c>
      <c r="F7" s="18">
        <v>180.0</v>
      </c>
      <c r="G7" s="6">
        <f t="shared" si="1"/>
        <v>16200</v>
      </c>
      <c r="H7" s="6">
        <f t="shared" si="2"/>
        <v>317.6470588</v>
      </c>
      <c r="I7" s="25">
        <v>51.0</v>
      </c>
      <c r="J7" s="20" t="s">
        <v>1</v>
      </c>
      <c r="K7" s="20" t="s">
        <v>1</v>
      </c>
      <c r="L7" s="21"/>
      <c r="M7" s="21">
        <f t="shared" si="3"/>
        <v>16200</v>
      </c>
      <c r="N7" s="21"/>
      <c r="O7" s="21"/>
      <c r="P7" s="21"/>
      <c r="Q7" s="21"/>
      <c r="R7" s="21"/>
      <c r="S7" s="21"/>
      <c r="T7" s="4"/>
      <c r="U7" s="4"/>
      <c r="V7" s="4"/>
      <c r="W7" s="4"/>
      <c r="X7" s="4"/>
      <c r="Y7" s="4"/>
      <c r="Z7" s="4"/>
      <c r="AA7" s="4"/>
      <c r="AB7" s="4"/>
      <c r="AC7" s="4"/>
    </row>
    <row r="8" ht="14.25" customHeight="1">
      <c r="A8" s="16" t="s">
        <v>29</v>
      </c>
      <c r="C8" s="23"/>
      <c r="D8" s="24">
        <v>8.25</v>
      </c>
      <c r="E8" s="17">
        <v>90.0</v>
      </c>
      <c r="F8" s="18">
        <v>180.0</v>
      </c>
      <c r="G8" s="6">
        <f t="shared" si="1"/>
        <v>16200</v>
      </c>
      <c r="H8" s="6">
        <f t="shared" si="2"/>
        <v>317.6470588</v>
      </c>
      <c r="I8" s="19">
        <v>51.0</v>
      </c>
      <c r="J8" s="20" t="s">
        <v>1</v>
      </c>
      <c r="K8" s="20" t="s">
        <v>1</v>
      </c>
      <c r="L8" s="21"/>
      <c r="M8" s="21">
        <f t="shared" si="3"/>
        <v>16200</v>
      </c>
      <c r="N8" s="21"/>
      <c r="O8" s="21"/>
      <c r="P8" s="21"/>
      <c r="Q8" s="21" t="str">
        <f>O8</f>
        <v/>
      </c>
      <c r="R8" s="21"/>
      <c r="S8" s="21"/>
      <c r="T8" s="4"/>
      <c r="U8" s="4"/>
      <c r="V8" s="4"/>
      <c r="W8" s="4"/>
      <c r="X8" s="4"/>
      <c r="Y8" s="4"/>
      <c r="Z8" s="4"/>
      <c r="AA8" s="4"/>
      <c r="AB8" s="4"/>
      <c r="AC8" s="4"/>
    </row>
    <row r="9" ht="14.25" customHeight="1">
      <c r="A9" s="16">
        <v>6.0</v>
      </c>
      <c r="B9" s="23"/>
      <c r="C9" s="23"/>
      <c r="D9" s="17">
        <v>10.0</v>
      </c>
      <c r="E9" s="17">
        <v>70.0</v>
      </c>
      <c r="F9" s="18">
        <v>160.0</v>
      </c>
      <c r="G9" s="6">
        <f t="shared" si="1"/>
        <v>11200</v>
      </c>
      <c r="H9" s="6">
        <f t="shared" si="2"/>
        <v>2800</v>
      </c>
      <c r="I9" s="26">
        <v>4.0</v>
      </c>
      <c r="J9" s="20" t="s">
        <v>30</v>
      </c>
      <c r="K9" s="27" t="s">
        <v>31</v>
      </c>
      <c r="L9" s="21"/>
      <c r="M9" s="21"/>
      <c r="N9" s="21"/>
      <c r="O9" s="21"/>
      <c r="P9" s="21"/>
      <c r="Q9" s="4"/>
      <c r="R9" s="21"/>
      <c r="S9" s="21">
        <f t="shared" ref="S9:S26" si="4">G9</f>
        <v>11200</v>
      </c>
      <c r="T9" s="4"/>
      <c r="U9" s="4"/>
      <c r="V9" s="4"/>
      <c r="W9" s="4"/>
      <c r="X9" s="4"/>
      <c r="Y9" s="4"/>
      <c r="Z9" s="4"/>
      <c r="AA9" s="4"/>
      <c r="AB9" s="4"/>
      <c r="AC9" s="4"/>
    </row>
    <row r="10" ht="14.25" customHeight="1">
      <c r="A10" s="16">
        <v>7.0</v>
      </c>
      <c r="B10" s="23"/>
      <c r="C10" s="23"/>
      <c r="D10" s="17">
        <v>10.0</v>
      </c>
      <c r="E10" s="17">
        <v>70.0</v>
      </c>
      <c r="F10" s="18">
        <v>160.0</v>
      </c>
      <c r="G10" s="6">
        <f t="shared" si="1"/>
        <v>11200</v>
      </c>
      <c r="H10" s="6">
        <f t="shared" si="2"/>
        <v>2800</v>
      </c>
      <c r="I10" s="26">
        <v>4.0</v>
      </c>
      <c r="J10" s="20" t="s">
        <v>30</v>
      </c>
      <c r="K10" s="27" t="s">
        <v>31</v>
      </c>
      <c r="L10" s="21"/>
      <c r="M10" s="21"/>
      <c r="N10" s="21"/>
      <c r="O10" s="21"/>
      <c r="P10" s="21"/>
      <c r="Q10" s="21"/>
      <c r="R10" s="21"/>
      <c r="S10" s="21">
        <f t="shared" si="4"/>
        <v>11200</v>
      </c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ht="14.25" customHeight="1">
      <c r="A11" s="16">
        <v>8.0</v>
      </c>
      <c r="B11" s="23"/>
      <c r="C11" s="23"/>
      <c r="D11" s="17">
        <v>10.0</v>
      </c>
      <c r="E11" s="17">
        <v>70.0</v>
      </c>
      <c r="F11" s="18">
        <v>160.0</v>
      </c>
      <c r="G11" s="6">
        <f t="shared" si="1"/>
        <v>11200</v>
      </c>
      <c r="H11" s="6">
        <f t="shared" si="2"/>
        <v>2800</v>
      </c>
      <c r="I11" s="26">
        <v>4.0</v>
      </c>
      <c r="J11" s="20" t="s">
        <v>30</v>
      </c>
      <c r="K11" s="27" t="s">
        <v>31</v>
      </c>
      <c r="L11" s="21"/>
      <c r="M11" s="21"/>
      <c r="N11" s="21"/>
      <c r="O11" s="21"/>
      <c r="P11" s="21"/>
      <c r="Q11" s="4"/>
      <c r="R11" s="21"/>
      <c r="S11" s="21">
        <f t="shared" si="4"/>
        <v>11200</v>
      </c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ht="14.25" customHeight="1">
      <c r="A12" s="16">
        <v>9.0</v>
      </c>
      <c r="B12" s="23"/>
      <c r="C12" s="23"/>
      <c r="D12" s="17">
        <v>10.0</v>
      </c>
      <c r="E12" s="17">
        <v>70.0</v>
      </c>
      <c r="F12" s="18">
        <v>160.0</v>
      </c>
      <c r="G12" s="6">
        <f t="shared" si="1"/>
        <v>11200</v>
      </c>
      <c r="H12" s="6">
        <f t="shared" si="2"/>
        <v>2800</v>
      </c>
      <c r="I12" s="26">
        <v>4.0</v>
      </c>
      <c r="J12" s="20" t="s">
        <v>30</v>
      </c>
      <c r="K12" s="27" t="s">
        <v>31</v>
      </c>
      <c r="L12" s="21"/>
      <c r="M12" s="21"/>
      <c r="N12" s="21"/>
      <c r="O12" s="21"/>
      <c r="P12" s="21"/>
      <c r="Q12" s="4"/>
      <c r="R12" s="21"/>
      <c r="S12" s="21">
        <f t="shared" si="4"/>
        <v>11200</v>
      </c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ht="14.25" customHeight="1">
      <c r="A13" s="16">
        <v>10.0</v>
      </c>
      <c r="B13" s="23"/>
      <c r="C13" s="23"/>
      <c r="D13" s="17">
        <v>10.0</v>
      </c>
      <c r="E13" s="17">
        <v>70.0</v>
      </c>
      <c r="F13" s="18">
        <v>160.0</v>
      </c>
      <c r="G13" s="6">
        <f t="shared" si="1"/>
        <v>11200</v>
      </c>
      <c r="H13" s="6">
        <f t="shared" si="2"/>
        <v>2800</v>
      </c>
      <c r="I13" s="26">
        <v>4.0</v>
      </c>
      <c r="J13" s="20" t="s">
        <v>30</v>
      </c>
      <c r="K13" s="27" t="s">
        <v>31</v>
      </c>
      <c r="L13" s="21"/>
      <c r="M13" s="21"/>
      <c r="N13" s="21"/>
      <c r="O13" s="21"/>
      <c r="P13" s="21"/>
      <c r="Q13" s="4"/>
      <c r="R13" s="21"/>
      <c r="S13" s="21">
        <f t="shared" si="4"/>
        <v>11200</v>
      </c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ht="14.25" customHeight="1">
      <c r="A14" s="16">
        <v>11.0</v>
      </c>
      <c r="B14" s="23"/>
      <c r="C14" s="23"/>
      <c r="D14" s="17">
        <v>10.0</v>
      </c>
      <c r="E14" s="17">
        <v>70.0</v>
      </c>
      <c r="F14" s="18">
        <v>160.0</v>
      </c>
      <c r="G14" s="6">
        <f t="shared" si="1"/>
        <v>11200</v>
      </c>
      <c r="H14" s="6">
        <f t="shared" si="2"/>
        <v>2800</v>
      </c>
      <c r="I14" s="26">
        <v>4.0</v>
      </c>
      <c r="J14" s="20" t="s">
        <v>30</v>
      </c>
      <c r="K14" s="27" t="s">
        <v>31</v>
      </c>
      <c r="L14" s="21"/>
      <c r="M14" s="21"/>
      <c r="N14" s="21"/>
      <c r="O14" s="21"/>
      <c r="P14" s="21"/>
      <c r="Q14" s="4"/>
      <c r="R14" s="21"/>
      <c r="S14" s="21">
        <f t="shared" si="4"/>
        <v>11200</v>
      </c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ht="14.25" customHeight="1">
      <c r="A15" s="16">
        <v>12.0</v>
      </c>
      <c r="B15" s="23"/>
      <c r="C15" s="23"/>
      <c r="D15" s="17">
        <v>10.0</v>
      </c>
      <c r="E15" s="17">
        <v>70.0</v>
      </c>
      <c r="F15" s="18">
        <v>160.0</v>
      </c>
      <c r="G15" s="6">
        <f t="shared" si="1"/>
        <v>11200</v>
      </c>
      <c r="H15" s="6">
        <f t="shared" si="2"/>
        <v>2800</v>
      </c>
      <c r="I15" s="26">
        <v>4.0</v>
      </c>
      <c r="J15" s="20" t="s">
        <v>30</v>
      </c>
      <c r="K15" s="27" t="s">
        <v>31</v>
      </c>
      <c r="L15" s="21"/>
      <c r="M15" s="21"/>
      <c r="N15" s="21"/>
      <c r="O15" s="21"/>
      <c r="P15" s="21"/>
      <c r="Q15" s="4"/>
      <c r="R15" s="21"/>
      <c r="S15" s="21">
        <f t="shared" si="4"/>
        <v>11200</v>
      </c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ht="14.25" customHeight="1">
      <c r="A16" s="16">
        <v>13.0</v>
      </c>
      <c r="B16" s="23"/>
      <c r="C16" s="23"/>
      <c r="D16" s="17">
        <v>10.0</v>
      </c>
      <c r="E16" s="17">
        <v>70.0</v>
      </c>
      <c r="F16" s="18">
        <v>160.0</v>
      </c>
      <c r="G16" s="6">
        <f t="shared" si="1"/>
        <v>11200</v>
      </c>
      <c r="H16" s="6">
        <f t="shared" si="2"/>
        <v>2800</v>
      </c>
      <c r="I16" s="26">
        <v>4.0</v>
      </c>
      <c r="J16" s="20" t="s">
        <v>30</v>
      </c>
      <c r="K16" s="27" t="s">
        <v>31</v>
      </c>
      <c r="L16" s="21"/>
      <c r="M16" s="21"/>
      <c r="N16" s="21"/>
      <c r="O16" s="21"/>
      <c r="P16" s="21"/>
      <c r="Q16" s="4"/>
      <c r="R16" s="21"/>
      <c r="S16" s="21">
        <f t="shared" si="4"/>
        <v>11200</v>
      </c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ht="14.25" customHeight="1">
      <c r="A17" s="16">
        <v>14.0</v>
      </c>
      <c r="B17" s="23"/>
      <c r="C17" s="23"/>
      <c r="D17" s="17">
        <v>10.0</v>
      </c>
      <c r="E17" s="17">
        <v>70.0</v>
      </c>
      <c r="F17" s="18">
        <v>160.0</v>
      </c>
      <c r="G17" s="6">
        <f t="shared" si="1"/>
        <v>11200</v>
      </c>
      <c r="H17" s="6">
        <f t="shared" si="2"/>
        <v>2800</v>
      </c>
      <c r="I17" s="26">
        <v>4.0</v>
      </c>
      <c r="J17" s="20" t="s">
        <v>30</v>
      </c>
      <c r="K17" s="27" t="s">
        <v>31</v>
      </c>
      <c r="L17" s="21"/>
      <c r="M17" s="21"/>
      <c r="N17" s="21"/>
      <c r="O17" s="21"/>
      <c r="P17" s="21"/>
      <c r="Q17" s="21"/>
      <c r="R17" s="21"/>
      <c r="S17" s="21">
        <f t="shared" si="4"/>
        <v>11200</v>
      </c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ht="14.25" customHeight="1">
      <c r="A18" s="16">
        <v>15.0</v>
      </c>
      <c r="B18" s="23"/>
      <c r="C18" s="23"/>
      <c r="D18" s="17">
        <v>10.0</v>
      </c>
      <c r="E18" s="17">
        <v>70.0</v>
      </c>
      <c r="F18" s="18">
        <v>160.0</v>
      </c>
      <c r="G18" s="6">
        <f t="shared" si="1"/>
        <v>11200</v>
      </c>
      <c r="H18" s="6">
        <f t="shared" si="2"/>
        <v>2800</v>
      </c>
      <c r="I18" s="26">
        <v>4.0</v>
      </c>
      <c r="J18" s="20" t="s">
        <v>30</v>
      </c>
      <c r="K18" s="27" t="s">
        <v>31</v>
      </c>
      <c r="L18" s="21"/>
      <c r="M18" s="21"/>
      <c r="N18" s="21"/>
      <c r="O18" s="21"/>
      <c r="P18" s="21"/>
      <c r="Q18" s="21"/>
      <c r="R18" s="21"/>
      <c r="S18" s="21">
        <f t="shared" si="4"/>
        <v>11200</v>
      </c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ht="14.25" customHeight="1">
      <c r="A19" s="16">
        <v>16.0</v>
      </c>
      <c r="B19" s="23"/>
      <c r="C19" s="23"/>
      <c r="D19" s="17">
        <v>10.0</v>
      </c>
      <c r="E19" s="17">
        <v>60.0</v>
      </c>
      <c r="F19" s="18">
        <v>150.0</v>
      </c>
      <c r="G19" s="6">
        <f t="shared" si="1"/>
        <v>9000</v>
      </c>
      <c r="H19" s="6">
        <f t="shared" si="2"/>
        <v>2250</v>
      </c>
      <c r="I19" s="26">
        <v>4.0</v>
      </c>
      <c r="J19" s="20" t="s">
        <v>30</v>
      </c>
      <c r="K19" s="27" t="s">
        <v>32</v>
      </c>
      <c r="L19" s="21"/>
      <c r="M19" s="21"/>
      <c r="N19" s="21"/>
      <c r="O19" s="21"/>
      <c r="P19" s="21"/>
      <c r="Q19" s="21"/>
      <c r="R19" s="21"/>
      <c r="S19" s="21">
        <f t="shared" si="4"/>
        <v>9000</v>
      </c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ht="14.25" customHeight="1">
      <c r="A20" s="16">
        <v>17.0</v>
      </c>
      <c r="B20" s="23"/>
      <c r="C20" s="23"/>
      <c r="D20" s="17">
        <v>10.0</v>
      </c>
      <c r="E20" s="17">
        <v>60.0</v>
      </c>
      <c r="F20" s="18">
        <v>150.0</v>
      </c>
      <c r="G20" s="6">
        <f t="shared" si="1"/>
        <v>9000</v>
      </c>
      <c r="H20" s="6">
        <f t="shared" si="2"/>
        <v>2250</v>
      </c>
      <c r="I20" s="26">
        <v>4.0</v>
      </c>
      <c r="J20" s="20" t="s">
        <v>30</v>
      </c>
      <c r="K20" s="27" t="s">
        <v>32</v>
      </c>
      <c r="L20" s="21"/>
      <c r="M20" s="21"/>
      <c r="N20" s="21"/>
      <c r="O20" s="21"/>
      <c r="P20" s="21"/>
      <c r="Q20" s="21"/>
      <c r="R20" s="21"/>
      <c r="S20" s="21">
        <f t="shared" si="4"/>
        <v>9000</v>
      </c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ht="14.25" customHeight="1">
      <c r="A21" s="16">
        <v>18.0</v>
      </c>
      <c r="B21" s="23"/>
      <c r="C21" s="23"/>
      <c r="D21" s="17">
        <v>10.0</v>
      </c>
      <c r="E21" s="17">
        <v>60.0</v>
      </c>
      <c r="F21" s="18">
        <v>150.0</v>
      </c>
      <c r="G21" s="6">
        <f t="shared" si="1"/>
        <v>9000</v>
      </c>
      <c r="H21" s="6">
        <f t="shared" si="2"/>
        <v>2250</v>
      </c>
      <c r="I21" s="26">
        <v>4.0</v>
      </c>
      <c r="J21" s="20" t="s">
        <v>30</v>
      </c>
      <c r="K21" s="27" t="s">
        <v>32</v>
      </c>
      <c r="L21" s="21"/>
      <c r="M21" s="21"/>
      <c r="N21" s="21"/>
      <c r="O21" s="21"/>
      <c r="P21" s="21"/>
      <c r="Q21" s="21"/>
      <c r="R21" s="21"/>
      <c r="S21" s="21">
        <f t="shared" si="4"/>
        <v>9000</v>
      </c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ht="14.25" customHeight="1">
      <c r="A22" s="16">
        <v>19.0</v>
      </c>
      <c r="B22" s="23"/>
      <c r="C22" s="23"/>
      <c r="D22" s="17">
        <v>10.0</v>
      </c>
      <c r="E22" s="17">
        <v>60.0</v>
      </c>
      <c r="F22" s="18">
        <v>150.0</v>
      </c>
      <c r="G22" s="6">
        <f t="shared" si="1"/>
        <v>9000</v>
      </c>
      <c r="H22" s="6">
        <f t="shared" si="2"/>
        <v>2250</v>
      </c>
      <c r="I22" s="26">
        <v>4.0</v>
      </c>
      <c r="J22" s="20" t="s">
        <v>30</v>
      </c>
      <c r="K22" s="27" t="s">
        <v>32</v>
      </c>
      <c r="L22" s="21"/>
      <c r="M22" s="21"/>
      <c r="N22" s="21"/>
      <c r="O22" s="21"/>
      <c r="P22" s="21"/>
      <c r="Q22" s="21"/>
      <c r="R22" s="21"/>
      <c r="S22" s="21">
        <f t="shared" si="4"/>
        <v>9000</v>
      </c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ht="14.25" customHeight="1">
      <c r="A23" s="16">
        <v>20.0</v>
      </c>
      <c r="B23" s="23"/>
      <c r="C23" s="23"/>
      <c r="D23" s="17">
        <v>10.0</v>
      </c>
      <c r="E23" s="17">
        <v>60.0</v>
      </c>
      <c r="F23" s="18">
        <v>150.0</v>
      </c>
      <c r="G23" s="6">
        <f t="shared" si="1"/>
        <v>9000</v>
      </c>
      <c r="H23" s="6">
        <f t="shared" si="2"/>
        <v>2250</v>
      </c>
      <c r="I23" s="26">
        <v>4.0</v>
      </c>
      <c r="J23" s="20" t="s">
        <v>30</v>
      </c>
      <c r="K23" s="27" t="s">
        <v>32</v>
      </c>
      <c r="L23" s="21"/>
      <c r="M23" s="21"/>
      <c r="N23" s="21"/>
      <c r="O23" s="21"/>
      <c r="P23" s="21"/>
      <c r="Q23" s="21"/>
      <c r="R23" s="21"/>
      <c r="S23" s="21">
        <f t="shared" si="4"/>
        <v>9000</v>
      </c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ht="14.25" customHeight="1">
      <c r="A24" s="16">
        <v>21.0</v>
      </c>
      <c r="B24" s="23"/>
      <c r="C24" s="23"/>
      <c r="D24" s="17">
        <v>10.0</v>
      </c>
      <c r="E24" s="17">
        <v>60.0</v>
      </c>
      <c r="F24" s="18">
        <v>150.0</v>
      </c>
      <c r="G24" s="6">
        <f t="shared" si="1"/>
        <v>9000</v>
      </c>
      <c r="H24" s="6">
        <f t="shared" si="2"/>
        <v>2250</v>
      </c>
      <c r="I24" s="26">
        <v>4.0</v>
      </c>
      <c r="J24" s="20" t="s">
        <v>30</v>
      </c>
      <c r="K24" s="27" t="s">
        <v>32</v>
      </c>
      <c r="L24" s="21"/>
      <c r="M24" s="21"/>
      <c r="N24" s="21"/>
      <c r="O24" s="21"/>
      <c r="P24" s="21"/>
      <c r="Q24" s="21"/>
      <c r="R24" s="21"/>
      <c r="S24" s="21">
        <f t="shared" si="4"/>
        <v>9000</v>
      </c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ht="14.25" customHeight="1">
      <c r="A25" s="16">
        <v>22.0</v>
      </c>
      <c r="B25" s="23"/>
      <c r="C25" s="23"/>
      <c r="D25" s="17">
        <v>10.0</v>
      </c>
      <c r="E25" s="17">
        <v>60.0</v>
      </c>
      <c r="F25" s="18">
        <v>150.0</v>
      </c>
      <c r="G25" s="6">
        <f t="shared" si="1"/>
        <v>9000</v>
      </c>
      <c r="H25" s="6">
        <f t="shared" ref="H25:H26" si="5">G25/2/2</f>
        <v>2250</v>
      </c>
      <c r="I25" s="26">
        <v>4.0</v>
      </c>
      <c r="J25" s="20" t="s">
        <v>30</v>
      </c>
      <c r="K25" s="27" t="s">
        <v>32</v>
      </c>
      <c r="L25" s="21"/>
      <c r="M25" s="21"/>
      <c r="N25" s="21"/>
      <c r="O25" s="21"/>
      <c r="P25" s="21"/>
      <c r="Q25" s="21"/>
      <c r="R25" s="21"/>
      <c r="S25" s="21">
        <f t="shared" si="4"/>
        <v>9000</v>
      </c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ht="14.25" customHeight="1">
      <c r="A26" s="16">
        <v>23.0</v>
      </c>
      <c r="B26" s="23"/>
      <c r="C26" s="23"/>
      <c r="D26" s="24">
        <v>13.25</v>
      </c>
      <c r="E26" s="17">
        <v>60.0</v>
      </c>
      <c r="F26" s="18">
        <v>150.0</v>
      </c>
      <c r="G26" s="6">
        <f t="shared" si="1"/>
        <v>9000</v>
      </c>
      <c r="H26" s="6">
        <f t="shared" si="5"/>
        <v>2250</v>
      </c>
      <c r="I26" s="26">
        <v>2.0</v>
      </c>
      <c r="J26" s="20" t="s">
        <v>33</v>
      </c>
      <c r="K26" s="4"/>
      <c r="L26" s="21"/>
      <c r="M26" s="21"/>
      <c r="N26" s="21"/>
      <c r="O26" s="21"/>
      <c r="P26" s="21"/>
      <c r="Q26" s="21"/>
      <c r="R26" s="21"/>
      <c r="S26" s="21">
        <f t="shared" si="4"/>
        <v>9000</v>
      </c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ht="14.25" customHeight="1">
      <c r="A27" s="22" t="s">
        <v>34</v>
      </c>
      <c r="B27" s="28"/>
      <c r="C27" s="28"/>
      <c r="D27" s="17"/>
      <c r="E27" s="17">
        <v>60.0</v>
      </c>
      <c r="F27" s="18">
        <v>150.0</v>
      </c>
      <c r="G27" s="6">
        <f t="shared" si="1"/>
        <v>9000</v>
      </c>
      <c r="H27" s="4"/>
      <c r="I27" s="26">
        <v>1.0</v>
      </c>
      <c r="J27" s="27" t="s">
        <v>35</v>
      </c>
      <c r="K27" s="4"/>
      <c r="L27" s="21"/>
      <c r="M27" s="21"/>
      <c r="N27" s="21"/>
      <c r="O27" s="21"/>
      <c r="P27" s="21">
        <f>G27</f>
        <v>9000</v>
      </c>
      <c r="Q27" s="21"/>
      <c r="R27" s="21"/>
      <c r="S27" s="21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ht="14.25" customHeight="1">
      <c r="A28" s="29" t="s">
        <v>36</v>
      </c>
      <c r="B28" s="30">
        <f>SUM(B5:B27)</f>
        <v>0</v>
      </c>
      <c r="C28" s="30"/>
      <c r="D28" s="30">
        <f>SUM(D4:D27)</f>
        <v>240</v>
      </c>
      <c r="E28" s="31"/>
      <c r="F28" s="31"/>
      <c r="G28" s="32">
        <f>SUM(G4:G27)</f>
        <v>270400</v>
      </c>
      <c r="H28" s="32"/>
      <c r="I28" s="32">
        <f>SUM(I9:I26)</f>
        <v>70</v>
      </c>
      <c r="J28" s="33" t="s">
        <v>30</v>
      </c>
      <c r="K28" s="31"/>
      <c r="L28" s="32">
        <f t="shared" ref="L28:S28" si="6">SUM(L4:L27)</f>
        <v>16200</v>
      </c>
      <c r="M28" s="32">
        <f t="shared" si="6"/>
        <v>48600</v>
      </c>
      <c r="N28" s="32">
        <f t="shared" si="6"/>
        <v>0</v>
      </c>
      <c r="O28" s="32">
        <f t="shared" si="6"/>
        <v>0</v>
      </c>
      <c r="P28" s="32">
        <f t="shared" si="6"/>
        <v>9000</v>
      </c>
      <c r="Q28" s="32">
        <f t="shared" si="6"/>
        <v>6300</v>
      </c>
      <c r="R28" s="32">
        <f t="shared" si="6"/>
        <v>6300</v>
      </c>
      <c r="S28" s="32">
        <f t="shared" si="6"/>
        <v>184000</v>
      </c>
      <c r="T28" s="31"/>
      <c r="U28" s="31"/>
      <c r="V28" s="31"/>
      <c r="W28" s="31"/>
      <c r="X28" s="31"/>
      <c r="Y28" s="31"/>
      <c r="Z28" s="31"/>
      <c r="AA28" s="31"/>
      <c r="AB28" s="31"/>
      <c r="AC28" s="31"/>
    </row>
    <row r="29" ht="14.25" customHeight="1">
      <c r="A29" s="34"/>
      <c r="B29" s="33"/>
      <c r="C29" s="33"/>
      <c r="D29" s="33" t="s">
        <v>37</v>
      </c>
      <c r="E29" s="4"/>
      <c r="F29" s="4"/>
      <c r="G29" s="33" t="s">
        <v>38</v>
      </c>
      <c r="H29" s="4"/>
      <c r="I29" s="32">
        <f>I5</f>
        <v>1</v>
      </c>
      <c r="J29" s="35" t="s">
        <v>39</v>
      </c>
      <c r="K29" s="4"/>
      <c r="L29" s="4"/>
      <c r="M29" s="4"/>
      <c r="N29" s="4"/>
      <c r="O29" s="4"/>
      <c r="P29" s="4"/>
      <c r="Q29" s="15" t="s">
        <v>40</v>
      </c>
      <c r="R29" s="32"/>
      <c r="S29" s="32">
        <f>SUM(L28:S28)</f>
        <v>270400</v>
      </c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ht="14.25" customHeight="1">
      <c r="A30" s="34"/>
      <c r="B30" s="4"/>
      <c r="C30" s="4"/>
      <c r="D30" s="4"/>
      <c r="E30" s="4"/>
      <c r="F30" s="4"/>
      <c r="G30" s="4"/>
      <c r="H30" s="4"/>
      <c r="I30" s="36">
        <v>153.0</v>
      </c>
      <c r="J30" s="35" t="s">
        <v>41</v>
      </c>
      <c r="K30" s="4"/>
      <c r="L30" s="4"/>
      <c r="M30" s="4"/>
      <c r="N30" s="4"/>
      <c r="O30" s="4"/>
      <c r="P30" s="4"/>
      <c r="Q30" s="4"/>
      <c r="R30" s="37"/>
      <c r="S30" s="37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ht="14.25" customHeight="1">
      <c r="A31" s="34"/>
      <c r="B31" s="4"/>
      <c r="C31" s="4"/>
      <c r="D31" s="4"/>
      <c r="E31" s="4"/>
      <c r="F31" s="4"/>
      <c r="G31" s="4"/>
      <c r="H31" s="4"/>
      <c r="I31" s="36">
        <v>153.0</v>
      </c>
      <c r="J31" s="35" t="s">
        <v>42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14.25" customHeight="1">
      <c r="A32" s="34"/>
      <c r="B32" s="4"/>
      <c r="C32" s="4"/>
      <c r="D32" s="4"/>
      <c r="E32" s="4"/>
      <c r="F32" s="4"/>
      <c r="G32" s="4"/>
      <c r="H32" s="4"/>
      <c r="I32" s="36">
        <v>153.0</v>
      </c>
      <c r="J32" s="35" t="s">
        <v>43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14.25" customHeight="1">
      <c r="A33" s="34"/>
      <c r="B33" s="4"/>
      <c r="C33" s="4"/>
      <c r="D33" s="4"/>
      <c r="E33" s="4"/>
      <c r="F33" s="4"/>
      <c r="G33" s="4"/>
      <c r="H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14.25" customHeight="1">
      <c r="A34" s="34"/>
      <c r="B34" s="4"/>
      <c r="C34" s="4"/>
      <c r="D34" s="4"/>
      <c r="E34" s="4"/>
      <c r="F34" s="4"/>
      <c r="G34" s="4"/>
      <c r="H34" s="4"/>
      <c r="I34" s="36"/>
      <c r="J34" s="35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14.25" customHeight="1">
      <c r="A35" s="34"/>
      <c r="B35" s="4"/>
      <c r="C35" s="4"/>
      <c r="D35" s="4"/>
      <c r="E35" s="4"/>
      <c r="F35" s="4"/>
      <c r="G35" s="4"/>
      <c r="H35" s="4"/>
      <c r="I35" s="36"/>
      <c r="J35" s="35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14.25" customHeight="1">
      <c r="A36" s="3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14.25" customHeight="1">
      <c r="A37" s="3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14.25" customHeight="1">
      <c r="A38" s="3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14.25" customHeight="1">
      <c r="A39" s="3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14.25" customHeight="1">
      <c r="A40" s="3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14.25" customHeight="1">
      <c r="A41" s="3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14.25" customHeight="1">
      <c r="A42" s="3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4.25" customHeight="1">
      <c r="A43" s="3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4.25" customHeight="1">
      <c r="A44" s="3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4.25" customHeight="1">
      <c r="A45" s="3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4.25" customHeight="1">
      <c r="A46" s="3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4.25" customHeight="1">
      <c r="A47" s="3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4.25" customHeight="1">
      <c r="A48" s="3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4.25" customHeight="1">
      <c r="A49" s="3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4.25" customHeight="1">
      <c r="A50" s="3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4.25" customHeight="1">
      <c r="A51" s="3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4.25" customHeight="1">
      <c r="A52" s="3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4.25" customHeight="1">
      <c r="A53" s="3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4.25" customHeight="1">
      <c r="A54" s="3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4.25" customHeight="1">
      <c r="A55" s="3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4.25" customHeight="1">
      <c r="A56" s="3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4.25" customHeight="1">
      <c r="A57" s="3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4.25" customHeight="1">
      <c r="A58" s="3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4.25" customHeight="1">
      <c r="A59" s="3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4.25" customHeight="1">
      <c r="A60" s="3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4.25" customHeight="1">
      <c r="A61" s="3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4.25" customHeight="1">
      <c r="A62" s="3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4.25" customHeight="1">
      <c r="A63" s="3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4.25" customHeight="1">
      <c r="A64" s="3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4.25" customHeight="1">
      <c r="A65" s="3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4.25" customHeight="1">
      <c r="A66" s="3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4.25" customHeight="1">
      <c r="A67" s="3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4.25" customHeight="1">
      <c r="A68" s="3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4.25" customHeight="1">
      <c r="A69" s="3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4.25" customHeight="1">
      <c r="A70" s="3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4.25" customHeight="1">
      <c r="A71" s="3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4.25" customHeight="1">
      <c r="A72" s="3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4.25" customHeight="1">
      <c r="A73" s="3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4.25" customHeight="1">
      <c r="A74" s="3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4.25" customHeight="1">
      <c r="A75" s="3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4.25" customHeight="1">
      <c r="A76" s="3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4.25" customHeight="1">
      <c r="A77" s="3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4.25" customHeight="1">
      <c r="A78" s="3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4.25" customHeight="1">
      <c r="A79" s="3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4.25" customHeight="1">
      <c r="A80" s="3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4.25" customHeight="1">
      <c r="A81" s="3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4.25" customHeight="1">
      <c r="A82" s="3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4.25" customHeight="1">
      <c r="A83" s="3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4.25" customHeight="1">
      <c r="A84" s="3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4.25" customHeight="1">
      <c r="A85" s="3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4.25" customHeight="1">
      <c r="A86" s="3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4.25" customHeight="1">
      <c r="A87" s="3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4.25" customHeight="1">
      <c r="A88" s="3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4.25" customHeight="1">
      <c r="A89" s="3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4.25" customHeight="1">
      <c r="A90" s="3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4.25" customHeight="1">
      <c r="A91" s="3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4.25" customHeight="1">
      <c r="A92" s="3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4.25" customHeight="1">
      <c r="A93" s="3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4.25" customHeight="1">
      <c r="A94" s="3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4.25" customHeight="1">
      <c r="A95" s="3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4.25" customHeight="1">
      <c r="A96" s="3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4.25" customHeight="1">
      <c r="A97" s="3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4.25" customHeight="1">
      <c r="A98" s="3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4.25" customHeight="1">
      <c r="A99" s="3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4.25" customHeight="1">
      <c r="A100" s="3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4.25" customHeight="1">
      <c r="A101" s="3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4.25" customHeight="1">
      <c r="A102" s="3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4.25" customHeight="1">
      <c r="A103" s="3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4.25" customHeight="1">
      <c r="A104" s="3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4.25" customHeight="1">
      <c r="A105" s="3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4.25" customHeight="1">
      <c r="A106" s="3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4.25" customHeight="1">
      <c r="A107" s="3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4.25" customHeight="1">
      <c r="A108" s="3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4.25" customHeight="1">
      <c r="A109" s="3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4.25" customHeight="1">
      <c r="A110" s="3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4.25" customHeight="1">
      <c r="A111" s="3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4.25" customHeight="1">
      <c r="A112" s="3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4.25" customHeight="1">
      <c r="A113" s="3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4.25" customHeight="1">
      <c r="A114" s="3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4.25" customHeight="1">
      <c r="A115" s="3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4.25" customHeight="1">
      <c r="A116" s="3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4.25" customHeight="1">
      <c r="A117" s="3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4.25" customHeight="1">
      <c r="A118" s="3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4.25" customHeight="1">
      <c r="A119" s="3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4.25" customHeight="1">
      <c r="A120" s="3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4.25" customHeight="1">
      <c r="A121" s="3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4.25" customHeight="1">
      <c r="A122" s="3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4.25" customHeight="1">
      <c r="A123" s="3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4.25" customHeight="1">
      <c r="A124" s="3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4.25" customHeight="1">
      <c r="A125" s="3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4.25" customHeight="1">
      <c r="A126" s="3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4.25" customHeight="1">
      <c r="A127" s="3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4.25" customHeight="1">
      <c r="A128" s="3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4.25" customHeight="1">
      <c r="A129" s="3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4.25" customHeight="1">
      <c r="A130" s="3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4.25" customHeight="1">
      <c r="A131" s="3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4.25" customHeight="1">
      <c r="A132" s="3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4.25" customHeight="1">
      <c r="A133" s="3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4.25" customHeight="1">
      <c r="A134" s="3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4.25" customHeight="1">
      <c r="A135" s="3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4.25" customHeight="1">
      <c r="A136" s="3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4.25" customHeight="1">
      <c r="A137" s="3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4.25" customHeight="1">
      <c r="A138" s="3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4.25" customHeight="1">
      <c r="A139" s="3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4.25" customHeight="1">
      <c r="A140" s="3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4.25" customHeight="1">
      <c r="A141" s="3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4.25" customHeight="1">
      <c r="A142" s="3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4.25" customHeight="1">
      <c r="A143" s="3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4.25" customHeight="1">
      <c r="A144" s="3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4.25" customHeight="1">
      <c r="A145" s="3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4.25" customHeight="1">
      <c r="A146" s="3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4.25" customHeight="1">
      <c r="A147" s="3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4.25" customHeight="1">
      <c r="A148" s="3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4.25" customHeight="1">
      <c r="A149" s="3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4.25" customHeight="1">
      <c r="A150" s="3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4.25" customHeight="1">
      <c r="A151" s="3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4.25" customHeight="1">
      <c r="A152" s="3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4.25" customHeight="1">
      <c r="A153" s="3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4.25" customHeight="1">
      <c r="A154" s="3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4.25" customHeight="1">
      <c r="A155" s="3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4.25" customHeight="1">
      <c r="A156" s="3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4.25" customHeight="1">
      <c r="A157" s="3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4.25" customHeight="1">
      <c r="A158" s="3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4.25" customHeight="1">
      <c r="A159" s="3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4.25" customHeight="1">
      <c r="A160" s="3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4.25" customHeight="1">
      <c r="A161" s="3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4.25" customHeight="1">
      <c r="A162" s="3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4.25" customHeight="1">
      <c r="A163" s="3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4.25" customHeight="1">
      <c r="A164" s="3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4.25" customHeight="1">
      <c r="A165" s="3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4.25" customHeight="1">
      <c r="A166" s="3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4.25" customHeight="1">
      <c r="A167" s="3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4.25" customHeight="1">
      <c r="A168" s="3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4.25" customHeight="1">
      <c r="A169" s="3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4.25" customHeight="1">
      <c r="A170" s="3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4.25" customHeight="1">
      <c r="A171" s="3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4.25" customHeight="1">
      <c r="A172" s="3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4.25" customHeight="1">
      <c r="A173" s="3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4.25" customHeight="1">
      <c r="A174" s="3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4.25" customHeight="1">
      <c r="A175" s="3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4.25" customHeight="1">
      <c r="A176" s="3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4.25" customHeight="1">
      <c r="A177" s="3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4.25" customHeight="1">
      <c r="A178" s="3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4.25" customHeight="1">
      <c r="A179" s="3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4.25" customHeight="1">
      <c r="A180" s="3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4.25" customHeight="1">
      <c r="A181" s="3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4.25" customHeight="1">
      <c r="A182" s="3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4.25" customHeight="1">
      <c r="A183" s="3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4.25" customHeight="1">
      <c r="A184" s="3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4.25" customHeight="1">
      <c r="A185" s="3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4.25" customHeight="1">
      <c r="A186" s="3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4.25" customHeight="1">
      <c r="A187" s="3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4.25" customHeight="1">
      <c r="A188" s="3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4.25" customHeight="1">
      <c r="A189" s="3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4.25" customHeight="1">
      <c r="A190" s="3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4.25" customHeight="1">
      <c r="A191" s="3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4.25" customHeight="1">
      <c r="A192" s="3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4.25" customHeight="1">
      <c r="A193" s="3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4.25" customHeight="1">
      <c r="A194" s="3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4.25" customHeight="1">
      <c r="A195" s="3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4.25" customHeight="1">
      <c r="A196" s="3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4.25" customHeight="1">
      <c r="A197" s="3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4.25" customHeight="1">
      <c r="A198" s="3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4.25" customHeight="1">
      <c r="A199" s="3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4.25" customHeight="1">
      <c r="A200" s="3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4.25" customHeight="1">
      <c r="A201" s="3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4.25" customHeight="1">
      <c r="A202" s="3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4.25" customHeight="1">
      <c r="A203" s="3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4.25" customHeight="1">
      <c r="A204" s="3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4.25" customHeight="1">
      <c r="A205" s="3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4.25" customHeight="1">
      <c r="A206" s="3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4.25" customHeight="1">
      <c r="A207" s="3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4.25" customHeight="1">
      <c r="A208" s="3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4.25" customHeight="1">
      <c r="A209" s="3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4.25" customHeight="1">
      <c r="A210" s="3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4.25" customHeight="1">
      <c r="A211" s="3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4.25" customHeight="1">
      <c r="A212" s="3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4.25" customHeight="1">
      <c r="A213" s="3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4.25" customHeight="1">
      <c r="A214" s="3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4.25" customHeight="1">
      <c r="A215" s="3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4.25" customHeight="1">
      <c r="A216" s="3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4.25" customHeight="1">
      <c r="A217" s="3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4.25" customHeight="1">
      <c r="A218" s="3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4.25" customHeight="1">
      <c r="A219" s="3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4.25" customHeight="1">
      <c r="A220" s="3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4.25" customHeight="1">
      <c r="A221" s="3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4.25" customHeight="1">
      <c r="A222" s="3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4.25" customHeight="1">
      <c r="A223" s="3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4.25" customHeight="1">
      <c r="A224" s="3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4.25" customHeight="1">
      <c r="A225" s="3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4.25" customHeight="1">
      <c r="A226" s="3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4.25" customHeight="1">
      <c r="A227" s="3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4.25" customHeight="1">
      <c r="A228" s="3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4.25" customHeight="1">
      <c r="A229" s="3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4.25" customHeight="1">
      <c r="A230" s="3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4.25" customHeight="1">
      <c r="A231" s="3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4.25" customHeight="1">
      <c r="A232" s="3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4.25" customHeight="1">
      <c r="A233" s="3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4.25" customHeight="1">
      <c r="A234" s="3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4.25" customHeight="1">
      <c r="A235" s="3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4.25" customHeight="1">
      <c r="A236" s="3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4.25" customHeight="1">
      <c r="A237" s="3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4.25" customHeight="1">
      <c r="A238" s="3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4.25" customHeight="1">
      <c r="A239" s="3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4.25" customHeight="1">
      <c r="A240" s="3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4.25" customHeight="1">
      <c r="A241" s="3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4.25" customHeight="1">
      <c r="A242" s="3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4.25" customHeight="1">
      <c r="A243" s="3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4.25" customHeight="1">
      <c r="A244" s="3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4.25" customHeight="1">
      <c r="A245" s="3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4.25" customHeight="1">
      <c r="A246" s="3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4.25" customHeight="1">
      <c r="A247" s="3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4.25" customHeight="1">
      <c r="A248" s="3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4.25" customHeight="1">
      <c r="A249" s="3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4.25" customHeight="1">
      <c r="A250" s="3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4.25" customHeight="1">
      <c r="A251" s="3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4.25" customHeight="1">
      <c r="A252" s="3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4.25" customHeight="1">
      <c r="A253" s="3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4.25" customHeight="1">
      <c r="A254" s="3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4.25" customHeight="1">
      <c r="A255" s="3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4.25" customHeight="1">
      <c r="A256" s="3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4.25" customHeight="1">
      <c r="A257" s="3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4.25" customHeight="1">
      <c r="A258" s="3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4.25" customHeight="1">
      <c r="A259" s="3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4.25" customHeight="1">
      <c r="A260" s="3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4.25" customHeight="1">
      <c r="A261" s="3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4.25" customHeight="1">
      <c r="A262" s="3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4.25" customHeight="1">
      <c r="A263" s="3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4.25" customHeight="1">
      <c r="A264" s="3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4.25" customHeight="1">
      <c r="A265" s="3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4.25" customHeight="1">
      <c r="A266" s="3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4.25" customHeight="1">
      <c r="A267" s="3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4.25" customHeight="1">
      <c r="A268" s="3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4.25" customHeight="1">
      <c r="A269" s="3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4.25" customHeight="1">
      <c r="A270" s="3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4.25" customHeight="1">
      <c r="A271" s="3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4.25" customHeight="1">
      <c r="A272" s="3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4.25" customHeight="1">
      <c r="A273" s="3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4.25" customHeight="1">
      <c r="A274" s="3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4.25" customHeight="1">
      <c r="A275" s="3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4.25" customHeight="1">
      <c r="A276" s="3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4.25" customHeight="1">
      <c r="A277" s="3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4.25" customHeight="1">
      <c r="A278" s="3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14.25" customHeight="1">
      <c r="A279" s="3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14.25" customHeight="1">
      <c r="A280" s="3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14.25" customHeight="1">
      <c r="A281" s="3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14.25" customHeight="1">
      <c r="A282" s="3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14.25" customHeight="1">
      <c r="A283" s="3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ht="14.25" customHeight="1">
      <c r="A284" s="3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ht="14.25" customHeight="1">
      <c r="A285" s="3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ht="14.25" customHeight="1">
      <c r="A286" s="3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ht="14.25" customHeight="1">
      <c r="A287" s="3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ht="14.25" customHeight="1">
      <c r="A288" s="3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ht="14.25" customHeight="1">
      <c r="A289" s="3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ht="14.25" customHeight="1">
      <c r="A290" s="3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ht="14.25" customHeight="1">
      <c r="A291" s="3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ht="14.25" customHeight="1">
      <c r="A292" s="3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ht="14.25" customHeight="1">
      <c r="A293" s="3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ht="14.25" customHeight="1">
      <c r="A294" s="3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ht="14.25" customHeight="1">
      <c r="A295" s="3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ht="14.25" customHeight="1">
      <c r="A296" s="3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ht="14.25" customHeight="1">
      <c r="A297" s="3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ht="14.25" customHeight="1">
      <c r="A298" s="3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ht="14.25" customHeight="1">
      <c r="A299" s="3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ht="14.25" customHeight="1">
      <c r="A300" s="3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ht="14.25" customHeight="1">
      <c r="A301" s="3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ht="14.25" customHeight="1">
      <c r="A302" s="3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ht="14.25" customHeight="1">
      <c r="A303" s="3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ht="14.25" customHeight="1">
      <c r="A304" s="3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ht="14.25" customHeight="1">
      <c r="A305" s="3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ht="14.25" customHeight="1">
      <c r="A306" s="3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ht="14.25" customHeight="1">
      <c r="A307" s="3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ht="14.25" customHeight="1">
      <c r="A308" s="3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ht="14.25" customHeight="1">
      <c r="A309" s="3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ht="14.25" customHeight="1">
      <c r="A310" s="3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ht="14.25" customHeight="1">
      <c r="A311" s="3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ht="14.25" customHeight="1">
      <c r="A312" s="3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ht="14.25" customHeight="1">
      <c r="A313" s="3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ht="14.25" customHeight="1">
      <c r="A314" s="3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ht="14.25" customHeight="1">
      <c r="A315" s="3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ht="14.25" customHeight="1">
      <c r="A316" s="3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ht="14.25" customHeight="1">
      <c r="A317" s="3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ht="14.25" customHeight="1">
      <c r="A318" s="3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ht="14.25" customHeight="1">
      <c r="A319" s="3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ht="14.25" customHeight="1">
      <c r="A320" s="3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ht="14.25" customHeight="1">
      <c r="A321" s="3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ht="14.25" customHeight="1">
      <c r="A322" s="3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ht="14.25" customHeight="1">
      <c r="A323" s="3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ht="14.25" customHeight="1">
      <c r="A324" s="3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ht="14.25" customHeight="1">
      <c r="A325" s="3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ht="14.25" customHeight="1">
      <c r="A326" s="3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ht="14.25" customHeight="1">
      <c r="A327" s="3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ht="14.25" customHeight="1">
      <c r="A328" s="3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ht="14.25" customHeight="1">
      <c r="A329" s="3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ht="14.25" customHeight="1">
      <c r="A330" s="3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ht="14.25" customHeight="1">
      <c r="A331" s="3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ht="14.25" customHeight="1">
      <c r="A332" s="3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ht="14.25" customHeight="1">
      <c r="A333" s="3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ht="14.25" customHeight="1">
      <c r="A334" s="3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ht="14.25" customHeight="1">
      <c r="A335" s="3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ht="14.25" customHeight="1">
      <c r="A336" s="3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ht="14.25" customHeight="1">
      <c r="A337" s="3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ht="14.25" customHeight="1">
      <c r="A338" s="3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ht="14.25" customHeight="1">
      <c r="A339" s="3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ht="14.25" customHeight="1">
      <c r="A340" s="3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ht="14.25" customHeight="1">
      <c r="A341" s="3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ht="14.25" customHeight="1">
      <c r="A342" s="3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ht="14.25" customHeight="1">
      <c r="A343" s="3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ht="14.25" customHeight="1">
      <c r="A344" s="3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ht="14.25" customHeight="1">
      <c r="A345" s="3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ht="14.25" customHeight="1">
      <c r="A346" s="3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ht="14.25" customHeight="1">
      <c r="A347" s="3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ht="14.25" customHeight="1">
      <c r="A348" s="3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ht="14.25" customHeight="1">
      <c r="A349" s="3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ht="14.25" customHeight="1">
      <c r="A350" s="3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ht="14.25" customHeight="1">
      <c r="A351" s="3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ht="14.25" customHeight="1">
      <c r="A352" s="3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ht="14.25" customHeight="1">
      <c r="A353" s="3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ht="14.25" customHeight="1">
      <c r="A354" s="3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ht="14.25" customHeight="1">
      <c r="A355" s="3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ht="14.25" customHeight="1">
      <c r="A356" s="3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ht="14.25" customHeight="1">
      <c r="A357" s="3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ht="14.25" customHeight="1">
      <c r="A358" s="3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ht="14.25" customHeight="1">
      <c r="A359" s="3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ht="14.25" customHeight="1">
      <c r="A360" s="3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ht="14.25" customHeight="1">
      <c r="A361" s="3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ht="14.25" customHeight="1">
      <c r="A362" s="3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ht="14.25" customHeight="1">
      <c r="A363" s="3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ht="14.25" customHeight="1">
      <c r="A364" s="3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ht="14.25" customHeight="1">
      <c r="A365" s="3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ht="14.25" customHeight="1">
      <c r="A366" s="3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ht="14.25" customHeight="1">
      <c r="A367" s="3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ht="14.25" customHeight="1">
      <c r="A368" s="3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ht="14.25" customHeight="1">
      <c r="A369" s="3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ht="14.25" customHeight="1">
      <c r="A370" s="3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ht="14.25" customHeight="1">
      <c r="A371" s="3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ht="14.25" customHeight="1">
      <c r="A372" s="3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ht="14.25" customHeight="1">
      <c r="A373" s="3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ht="14.25" customHeight="1">
      <c r="A374" s="3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ht="14.25" customHeight="1">
      <c r="A375" s="3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ht="14.25" customHeight="1">
      <c r="A376" s="3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ht="14.25" customHeight="1">
      <c r="A377" s="3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ht="14.25" customHeight="1">
      <c r="A378" s="3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ht="14.25" customHeight="1">
      <c r="A379" s="3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ht="14.25" customHeight="1">
      <c r="A380" s="3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ht="14.25" customHeight="1">
      <c r="A381" s="3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ht="14.25" customHeight="1">
      <c r="A382" s="3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ht="14.25" customHeight="1">
      <c r="A383" s="3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ht="14.25" customHeight="1">
      <c r="A384" s="3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ht="14.25" customHeight="1">
      <c r="A385" s="3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ht="14.25" customHeight="1">
      <c r="A386" s="3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ht="14.25" customHeight="1">
      <c r="A387" s="3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ht="14.25" customHeight="1">
      <c r="A388" s="3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ht="14.25" customHeight="1">
      <c r="A389" s="3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ht="14.25" customHeight="1">
      <c r="A390" s="3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ht="14.25" customHeight="1">
      <c r="A391" s="3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ht="14.25" customHeight="1">
      <c r="A392" s="3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ht="14.25" customHeight="1">
      <c r="A393" s="3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ht="14.25" customHeight="1">
      <c r="A394" s="3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ht="14.25" customHeight="1">
      <c r="A395" s="3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ht="14.25" customHeight="1">
      <c r="A396" s="3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ht="14.25" customHeight="1">
      <c r="A397" s="3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ht="14.25" customHeight="1">
      <c r="A398" s="3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ht="14.25" customHeight="1">
      <c r="A399" s="3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ht="14.25" customHeight="1">
      <c r="A400" s="3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ht="14.25" customHeight="1">
      <c r="A401" s="3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ht="14.25" customHeight="1">
      <c r="A402" s="3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ht="14.25" customHeight="1">
      <c r="A403" s="3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ht="14.25" customHeight="1">
      <c r="A404" s="3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ht="14.25" customHeight="1">
      <c r="A405" s="3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ht="14.25" customHeight="1">
      <c r="A406" s="3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ht="14.25" customHeight="1">
      <c r="A407" s="3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ht="14.25" customHeight="1">
      <c r="A408" s="3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ht="14.25" customHeight="1">
      <c r="A409" s="3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ht="14.25" customHeight="1">
      <c r="A410" s="3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ht="14.25" customHeight="1">
      <c r="A411" s="3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ht="14.25" customHeight="1">
      <c r="A412" s="3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ht="14.25" customHeight="1">
      <c r="A413" s="3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ht="14.25" customHeight="1">
      <c r="A414" s="3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ht="14.25" customHeight="1">
      <c r="A415" s="3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ht="14.25" customHeight="1">
      <c r="A416" s="3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ht="14.25" customHeight="1">
      <c r="A417" s="3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ht="14.25" customHeight="1">
      <c r="A418" s="3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ht="14.25" customHeight="1">
      <c r="A419" s="3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ht="14.25" customHeight="1">
      <c r="A420" s="3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ht="14.25" customHeight="1">
      <c r="A421" s="3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ht="14.25" customHeight="1">
      <c r="A422" s="3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ht="14.25" customHeight="1">
      <c r="A423" s="3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ht="14.25" customHeight="1">
      <c r="A424" s="3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ht="14.25" customHeight="1">
      <c r="A425" s="3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ht="14.25" customHeight="1">
      <c r="A426" s="3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ht="14.25" customHeight="1">
      <c r="A427" s="3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ht="14.25" customHeight="1">
      <c r="A428" s="3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ht="14.25" customHeight="1">
      <c r="A429" s="3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ht="14.25" customHeight="1">
      <c r="A430" s="3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ht="14.25" customHeight="1">
      <c r="A431" s="3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ht="14.25" customHeight="1">
      <c r="A432" s="3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ht="14.25" customHeight="1">
      <c r="A433" s="3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ht="14.25" customHeight="1">
      <c r="A434" s="3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ht="14.25" customHeight="1">
      <c r="A435" s="3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ht="14.25" customHeight="1">
      <c r="A436" s="3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ht="14.25" customHeight="1">
      <c r="A437" s="3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ht="14.25" customHeight="1">
      <c r="A438" s="3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ht="14.25" customHeight="1">
      <c r="A439" s="3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ht="14.25" customHeight="1">
      <c r="A440" s="3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ht="14.25" customHeight="1">
      <c r="A441" s="3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ht="14.25" customHeight="1">
      <c r="A442" s="3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ht="14.25" customHeight="1">
      <c r="A443" s="3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ht="14.25" customHeight="1">
      <c r="A444" s="3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ht="14.25" customHeight="1">
      <c r="A445" s="3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ht="14.25" customHeight="1">
      <c r="A446" s="3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ht="14.25" customHeight="1">
      <c r="A447" s="3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ht="14.25" customHeight="1">
      <c r="A448" s="3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ht="14.25" customHeight="1">
      <c r="A449" s="3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ht="14.25" customHeight="1">
      <c r="A450" s="3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ht="14.25" customHeight="1">
      <c r="A451" s="3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ht="14.25" customHeight="1">
      <c r="A452" s="3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ht="14.25" customHeight="1">
      <c r="A453" s="3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ht="14.25" customHeight="1">
      <c r="A454" s="3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ht="14.25" customHeight="1">
      <c r="A455" s="3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ht="14.25" customHeight="1">
      <c r="A456" s="3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ht="14.25" customHeight="1">
      <c r="A457" s="3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ht="14.25" customHeight="1">
      <c r="A458" s="3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ht="14.25" customHeight="1">
      <c r="A459" s="3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ht="14.25" customHeight="1">
      <c r="A460" s="3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ht="14.25" customHeight="1">
      <c r="A461" s="3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ht="14.25" customHeight="1">
      <c r="A462" s="3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ht="14.25" customHeight="1">
      <c r="A463" s="3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ht="14.25" customHeight="1">
      <c r="A464" s="3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ht="14.25" customHeight="1">
      <c r="A465" s="3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ht="14.25" customHeight="1">
      <c r="A466" s="3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ht="14.25" customHeight="1">
      <c r="A467" s="3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ht="14.25" customHeight="1">
      <c r="A468" s="3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ht="14.25" customHeight="1">
      <c r="A469" s="3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ht="14.25" customHeight="1">
      <c r="A470" s="3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ht="14.25" customHeight="1">
      <c r="A471" s="3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ht="14.25" customHeight="1">
      <c r="A472" s="3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ht="14.25" customHeight="1">
      <c r="A473" s="3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ht="14.25" customHeight="1">
      <c r="A474" s="3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ht="14.25" customHeight="1">
      <c r="A475" s="3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ht="14.25" customHeight="1">
      <c r="A476" s="3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ht="14.25" customHeight="1">
      <c r="A477" s="3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ht="14.25" customHeight="1">
      <c r="A478" s="3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ht="14.25" customHeight="1">
      <c r="A479" s="3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ht="14.25" customHeight="1">
      <c r="A480" s="3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ht="14.25" customHeight="1">
      <c r="A481" s="3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ht="14.25" customHeight="1">
      <c r="A482" s="3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ht="14.25" customHeight="1">
      <c r="A483" s="3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ht="14.25" customHeight="1">
      <c r="A484" s="3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ht="14.25" customHeight="1">
      <c r="A485" s="3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ht="14.25" customHeight="1">
      <c r="A486" s="3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ht="14.25" customHeight="1">
      <c r="A487" s="3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ht="14.25" customHeight="1">
      <c r="A488" s="3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ht="14.25" customHeight="1">
      <c r="A489" s="3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ht="14.25" customHeight="1">
      <c r="A490" s="3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ht="14.25" customHeight="1">
      <c r="A491" s="3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ht="14.25" customHeight="1">
      <c r="A492" s="3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ht="14.25" customHeight="1">
      <c r="A493" s="3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ht="14.25" customHeight="1">
      <c r="A494" s="3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ht="14.25" customHeight="1">
      <c r="A495" s="3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ht="14.25" customHeight="1">
      <c r="A496" s="3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ht="14.25" customHeight="1">
      <c r="A497" s="3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ht="14.25" customHeight="1">
      <c r="A498" s="3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ht="14.25" customHeight="1">
      <c r="A499" s="3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ht="14.25" customHeight="1">
      <c r="A500" s="3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ht="14.25" customHeight="1">
      <c r="A501" s="3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ht="14.25" customHeight="1">
      <c r="A502" s="3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ht="14.25" customHeight="1">
      <c r="A503" s="3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ht="14.25" customHeight="1">
      <c r="A504" s="3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ht="14.25" customHeight="1">
      <c r="A505" s="3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ht="14.25" customHeight="1">
      <c r="A506" s="3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ht="14.25" customHeight="1">
      <c r="A507" s="3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ht="14.25" customHeight="1">
      <c r="A508" s="3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ht="14.25" customHeight="1">
      <c r="A509" s="3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ht="14.25" customHeight="1">
      <c r="A510" s="3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ht="14.25" customHeight="1">
      <c r="A511" s="3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ht="14.25" customHeight="1">
      <c r="A512" s="3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ht="14.25" customHeight="1">
      <c r="A513" s="3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ht="14.25" customHeight="1">
      <c r="A514" s="3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ht="14.25" customHeight="1">
      <c r="A515" s="3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ht="14.25" customHeight="1">
      <c r="A516" s="3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ht="14.25" customHeight="1">
      <c r="A517" s="3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ht="14.25" customHeight="1">
      <c r="A518" s="3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ht="14.25" customHeight="1">
      <c r="A519" s="3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ht="14.25" customHeight="1">
      <c r="A520" s="3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ht="14.25" customHeight="1">
      <c r="A521" s="3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ht="14.25" customHeight="1">
      <c r="A522" s="3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ht="14.25" customHeight="1">
      <c r="A523" s="3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ht="14.25" customHeight="1">
      <c r="A524" s="3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ht="14.25" customHeight="1">
      <c r="A525" s="3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ht="14.25" customHeight="1">
      <c r="A526" s="3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ht="14.25" customHeight="1">
      <c r="A527" s="3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ht="14.25" customHeight="1">
      <c r="A528" s="3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ht="14.25" customHeight="1">
      <c r="A529" s="3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ht="14.25" customHeight="1">
      <c r="A530" s="3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ht="14.25" customHeight="1">
      <c r="A531" s="3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ht="14.25" customHeight="1">
      <c r="A532" s="3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ht="14.25" customHeight="1">
      <c r="A533" s="3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ht="14.25" customHeight="1">
      <c r="A534" s="3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ht="14.25" customHeight="1">
      <c r="A535" s="3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ht="14.25" customHeight="1">
      <c r="A536" s="3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ht="14.25" customHeight="1">
      <c r="A537" s="3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ht="14.25" customHeight="1">
      <c r="A538" s="3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ht="14.25" customHeight="1">
      <c r="A539" s="3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ht="14.25" customHeight="1">
      <c r="A540" s="3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ht="14.25" customHeight="1">
      <c r="A541" s="3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ht="14.25" customHeight="1">
      <c r="A542" s="3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ht="14.25" customHeight="1">
      <c r="A543" s="3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ht="14.25" customHeight="1">
      <c r="A544" s="3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ht="14.25" customHeight="1">
      <c r="A545" s="3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ht="14.25" customHeight="1">
      <c r="A546" s="3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ht="14.25" customHeight="1">
      <c r="A547" s="3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ht="14.25" customHeight="1">
      <c r="A548" s="3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ht="14.25" customHeight="1">
      <c r="A549" s="3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ht="14.25" customHeight="1">
      <c r="A550" s="3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ht="14.25" customHeight="1">
      <c r="A551" s="3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ht="14.25" customHeight="1">
      <c r="A552" s="3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ht="14.25" customHeight="1">
      <c r="A553" s="3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ht="14.25" customHeight="1">
      <c r="A554" s="3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ht="14.25" customHeight="1">
      <c r="A555" s="3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ht="14.25" customHeight="1">
      <c r="A556" s="3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ht="14.25" customHeight="1">
      <c r="A557" s="3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ht="14.25" customHeight="1">
      <c r="A558" s="3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ht="14.25" customHeight="1">
      <c r="A559" s="3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ht="14.25" customHeight="1">
      <c r="A560" s="3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ht="14.25" customHeight="1">
      <c r="A561" s="3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ht="14.25" customHeight="1">
      <c r="A562" s="3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ht="14.25" customHeight="1">
      <c r="A563" s="3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ht="14.25" customHeight="1">
      <c r="A564" s="3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ht="14.25" customHeight="1">
      <c r="A565" s="3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ht="14.25" customHeight="1">
      <c r="A566" s="3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ht="14.25" customHeight="1">
      <c r="A567" s="3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ht="14.25" customHeight="1">
      <c r="A568" s="3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ht="14.25" customHeight="1">
      <c r="A569" s="3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ht="14.25" customHeight="1">
      <c r="A570" s="3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ht="14.25" customHeight="1">
      <c r="A571" s="3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ht="14.25" customHeight="1">
      <c r="A572" s="3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ht="14.25" customHeight="1">
      <c r="A573" s="3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ht="14.25" customHeight="1">
      <c r="A574" s="3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ht="14.25" customHeight="1">
      <c r="A575" s="3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ht="14.25" customHeight="1">
      <c r="A576" s="3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ht="14.25" customHeight="1">
      <c r="A577" s="3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ht="14.25" customHeight="1">
      <c r="A578" s="3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ht="14.25" customHeight="1">
      <c r="A579" s="3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ht="14.25" customHeight="1">
      <c r="A580" s="3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ht="14.25" customHeight="1">
      <c r="A581" s="3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ht="14.25" customHeight="1">
      <c r="A582" s="3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ht="14.25" customHeight="1">
      <c r="A583" s="3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ht="14.25" customHeight="1">
      <c r="A584" s="3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ht="14.25" customHeight="1">
      <c r="A585" s="3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ht="14.25" customHeight="1">
      <c r="A586" s="3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ht="14.25" customHeight="1">
      <c r="A587" s="3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ht="14.25" customHeight="1">
      <c r="A588" s="3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ht="14.25" customHeight="1">
      <c r="A589" s="3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ht="14.25" customHeight="1">
      <c r="A590" s="3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ht="14.25" customHeight="1">
      <c r="A591" s="3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ht="14.25" customHeight="1">
      <c r="A592" s="3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ht="14.25" customHeight="1">
      <c r="A593" s="3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ht="14.25" customHeight="1">
      <c r="A594" s="3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ht="14.25" customHeight="1">
      <c r="A595" s="3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ht="14.25" customHeight="1">
      <c r="A596" s="3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ht="14.25" customHeight="1">
      <c r="A597" s="3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ht="14.25" customHeight="1">
      <c r="A598" s="3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ht="14.25" customHeight="1">
      <c r="A599" s="3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ht="14.25" customHeight="1">
      <c r="A600" s="3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ht="14.25" customHeight="1">
      <c r="A601" s="3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ht="14.25" customHeight="1">
      <c r="A602" s="3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ht="14.25" customHeight="1">
      <c r="A603" s="3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ht="14.25" customHeight="1">
      <c r="A604" s="3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ht="14.25" customHeight="1">
      <c r="A605" s="3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ht="14.25" customHeight="1">
      <c r="A606" s="3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ht="14.25" customHeight="1">
      <c r="A607" s="3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ht="14.25" customHeight="1">
      <c r="A608" s="3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ht="14.25" customHeight="1">
      <c r="A609" s="3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ht="14.25" customHeight="1">
      <c r="A610" s="3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ht="14.25" customHeight="1">
      <c r="A611" s="3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ht="14.25" customHeight="1">
      <c r="A612" s="3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ht="14.25" customHeight="1">
      <c r="A613" s="3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ht="14.25" customHeight="1">
      <c r="A614" s="3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ht="14.25" customHeight="1">
      <c r="A615" s="3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ht="14.25" customHeight="1">
      <c r="A616" s="3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ht="14.25" customHeight="1">
      <c r="A617" s="3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ht="14.25" customHeight="1">
      <c r="A618" s="3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ht="14.25" customHeight="1">
      <c r="A619" s="3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ht="14.25" customHeight="1">
      <c r="A620" s="3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ht="14.25" customHeight="1">
      <c r="A621" s="3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ht="14.25" customHeight="1">
      <c r="A622" s="3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ht="14.25" customHeight="1">
      <c r="A623" s="3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ht="14.25" customHeight="1">
      <c r="A624" s="3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ht="14.25" customHeight="1">
      <c r="A625" s="3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ht="14.25" customHeight="1">
      <c r="A626" s="3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ht="14.25" customHeight="1">
      <c r="A627" s="3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ht="14.25" customHeight="1">
      <c r="A628" s="3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ht="14.25" customHeight="1">
      <c r="A629" s="3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ht="14.25" customHeight="1">
      <c r="A630" s="3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ht="14.25" customHeight="1">
      <c r="A631" s="3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ht="14.25" customHeight="1">
      <c r="A632" s="3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ht="14.25" customHeight="1">
      <c r="A633" s="3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ht="14.25" customHeight="1">
      <c r="A634" s="3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ht="14.25" customHeight="1">
      <c r="A635" s="3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ht="14.25" customHeight="1">
      <c r="A636" s="3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ht="14.25" customHeight="1">
      <c r="A637" s="3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ht="14.25" customHeight="1">
      <c r="A638" s="3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ht="14.25" customHeight="1">
      <c r="A639" s="3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ht="14.25" customHeight="1">
      <c r="A640" s="3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ht="14.25" customHeight="1">
      <c r="A641" s="3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ht="14.25" customHeight="1">
      <c r="A642" s="3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ht="14.25" customHeight="1">
      <c r="A643" s="3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ht="14.25" customHeight="1">
      <c r="A644" s="3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ht="14.25" customHeight="1">
      <c r="A645" s="3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ht="14.25" customHeight="1">
      <c r="A646" s="3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ht="14.25" customHeight="1">
      <c r="A647" s="3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ht="14.25" customHeight="1">
      <c r="A648" s="3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ht="14.25" customHeight="1">
      <c r="A649" s="3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ht="14.25" customHeight="1">
      <c r="A650" s="3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ht="14.25" customHeight="1">
      <c r="A651" s="3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ht="14.25" customHeight="1">
      <c r="A652" s="3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ht="14.25" customHeight="1">
      <c r="A653" s="3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ht="14.25" customHeight="1">
      <c r="A654" s="3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ht="14.25" customHeight="1">
      <c r="A655" s="3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ht="14.25" customHeight="1">
      <c r="A656" s="3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ht="14.25" customHeight="1">
      <c r="A657" s="3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ht="14.25" customHeight="1">
      <c r="A658" s="3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ht="14.25" customHeight="1">
      <c r="A659" s="3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ht="14.25" customHeight="1">
      <c r="A660" s="3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ht="14.25" customHeight="1">
      <c r="A661" s="3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ht="14.25" customHeight="1">
      <c r="A662" s="3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ht="14.25" customHeight="1">
      <c r="A663" s="3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ht="14.25" customHeight="1">
      <c r="A664" s="3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ht="14.25" customHeight="1">
      <c r="A665" s="3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ht="14.25" customHeight="1">
      <c r="A666" s="3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ht="14.25" customHeight="1">
      <c r="A667" s="3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ht="14.25" customHeight="1">
      <c r="A668" s="3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ht="14.25" customHeight="1">
      <c r="A669" s="3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ht="14.25" customHeight="1">
      <c r="A670" s="3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ht="14.25" customHeight="1">
      <c r="A671" s="3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ht="14.25" customHeight="1">
      <c r="A672" s="3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ht="14.25" customHeight="1">
      <c r="A673" s="3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ht="14.25" customHeight="1">
      <c r="A674" s="3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ht="14.25" customHeight="1">
      <c r="A675" s="3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ht="14.25" customHeight="1">
      <c r="A676" s="3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ht="14.25" customHeight="1">
      <c r="A677" s="3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ht="14.25" customHeight="1">
      <c r="A678" s="3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ht="14.25" customHeight="1">
      <c r="A679" s="3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ht="14.25" customHeight="1">
      <c r="A680" s="3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ht="14.25" customHeight="1">
      <c r="A681" s="3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ht="14.25" customHeight="1">
      <c r="A682" s="3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ht="14.25" customHeight="1">
      <c r="A683" s="3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ht="14.25" customHeight="1">
      <c r="A684" s="3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ht="14.25" customHeight="1">
      <c r="A685" s="3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ht="14.25" customHeight="1">
      <c r="A686" s="3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ht="14.25" customHeight="1">
      <c r="A687" s="3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ht="14.25" customHeight="1">
      <c r="A688" s="3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ht="14.25" customHeight="1">
      <c r="A689" s="3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ht="14.25" customHeight="1">
      <c r="A690" s="3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ht="14.25" customHeight="1">
      <c r="A691" s="3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ht="14.25" customHeight="1">
      <c r="A692" s="3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ht="14.25" customHeight="1">
      <c r="A693" s="3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ht="14.25" customHeight="1">
      <c r="A694" s="3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ht="14.25" customHeight="1">
      <c r="A695" s="3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ht="14.25" customHeight="1">
      <c r="A696" s="3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ht="14.25" customHeight="1">
      <c r="A697" s="3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ht="14.25" customHeight="1">
      <c r="A698" s="3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ht="14.25" customHeight="1">
      <c r="A699" s="3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ht="14.25" customHeight="1">
      <c r="A700" s="3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ht="14.25" customHeight="1">
      <c r="A701" s="3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ht="14.25" customHeight="1">
      <c r="A702" s="3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ht="14.25" customHeight="1">
      <c r="A703" s="3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ht="14.25" customHeight="1">
      <c r="A704" s="3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ht="14.25" customHeight="1">
      <c r="A705" s="3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ht="14.25" customHeight="1">
      <c r="A706" s="3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ht="14.25" customHeight="1">
      <c r="A707" s="3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ht="14.25" customHeight="1">
      <c r="A708" s="3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ht="14.25" customHeight="1">
      <c r="A709" s="3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ht="14.25" customHeight="1">
      <c r="A710" s="3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ht="14.25" customHeight="1">
      <c r="A711" s="3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ht="14.25" customHeight="1">
      <c r="A712" s="3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ht="14.25" customHeight="1">
      <c r="A713" s="3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ht="14.25" customHeight="1">
      <c r="A714" s="3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ht="14.25" customHeight="1">
      <c r="A715" s="3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ht="14.25" customHeight="1">
      <c r="A716" s="3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ht="14.25" customHeight="1">
      <c r="A717" s="3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ht="14.25" customHeight="1">
      <c r="A718" s="3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ht="14.25" customHeight="1">
      <c r="A719" s="3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ht="14.25" customHeight="1">
      <c r="A720" s="3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ht="14.25" customHeight="1">
      <c r="A721" s="3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ht="14.25" customHeight="1">
      <c r="A722" s="3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ht="14.25" customHeight="1">
      <c r="A723" s="3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ht="14.25" customHeight="1">
      <c r="A724" s="3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ht="14.25" customHeight="1">
      <c r="A725" s="3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ht="14.25" customHeight="1">
      <c r="A726" s="3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ht="14.25" customHeight="1">
      <c r="A727" s="3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ht="14.25" customHeight="1">
      <c r="A728" s="3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ht="14.25" customHeight="1">
      <c r="A729" s="3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ht="14.25" customHeight="1">
      <c r="A730" s="3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ht="14.25" customHeight="1">
      <c r="A731" s="3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ht="14.25" customHeight="1">
      <c r="A732" s="3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ht="14.25" customHeight="1">
      <c r="A733" s="3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ht="14.25" customHeight="1">
      <c r="A734" s="3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ht="14.25" customHeight="1">
      <c r="A735" s="3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ht="14.25" customHeight="1">
      <c r="A736" s="3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ht="14.25" customHeight="1">
      <c r="A737" s="3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ht="14.25" customHeight="1">
      <c r="A738" s="3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ht="14.25" customHeight="1">
      <c r="A739" s="3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ht="14.25" customHeight="1">
      <c r="A740" s="3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ht="14.25" customHeight="1">
      <c r="A741" s="3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ht="14.25" customHeight="1">
      <c r="A742" s="3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ht="14.25" customHeight="1">
      <c r="A743" s="3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ht="14.25" customHeight="1">
      <c r="A744" s="3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ht="14.25" customHeight="1">
      <c r="A745" s="3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ht="14.25" customHeight="1">
      <c r="A746" s="3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ht="14.25" customHeight="1">
      <c r="A747" s="3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ht="14.25" customHeight="1">
      <c r="A748" s="3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ht="14.25" customHeight="1">
      <c r="A749" s="3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ht="14.25" customHeight="1">
      <c r="A750" s="3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ht="14.25" customHeight="1">
      <c r="A751" s="3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ht="14.25" customHeight="1">
      <c r="A752" s="3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ht="14.25" customHeight="1">
      <c r="A753" s="3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ht="14.25" customHeight="1">
      <c r="A754" s="3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ht="14.25" customHeight="1">
      <c r="A755" s="3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ht="14.25" customHeight="1">
      <c r="A756" s="3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ht="14.25" customHeight="1">
      <c r="A757" s="3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ht="14.25" customHeight="1">
      <c r="A758" s="3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ht="14.25" customHeight="1">
      <c r="A759" s="3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ht="14.25" customHeight="1">
      <c r="A760" s="3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ht="14.25" customHeight="1">
      <c r="A761" s="3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ht="14.25" customHeight="1">
      <c r="A762" s="3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ht="14.25" customHeight="1">
      <c r="A763" s="3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ht="14.25" customHeight="1">
      <c r="A764" s="3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ht="14.25" customHeight="1">
      <c r="A765" s="3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ht="14.25" customHeight="1">
      <c r="A766" s="3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ht="14.25" customHeight="1">
      <c r="A767" s="3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ht="14.25" customHeight="1">
      <c r="A768" s="3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ht="14.25" customHeight="1">
      <c r="A769" s="3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ht="14.25" customHeight="1">
      <c r="A770" s="3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ht="14.25" customHeight="1">
      <c r="A771" s="3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ht="14.25" customHeight="1">
      <c r="A772" s="3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ht="14.25" customHeight="1">
      <c r="A773" s="3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ht="14.25" customHeight="1">
      <c r="A774" s="3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ht="14.25" customHeight="1">
      <c r="A775" s="3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ht="14.25" customHeight="1">
      <c r="A776" s="3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ht="14.25" customHeight="1">
      <c r="A777" s="3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ht="14.25" customHeight="1">
      <c r="A778" s="3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ht="14.25" customHeight="1">
      <c r="A779" s="3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ht="14.25" customHeight="1">
      <c r="A780" s="3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ht="14.25" customHeight="1">
      <c r="A781" s="3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ht="14.25" customHeight="1">
      <c r="A782" s="3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ht="14.25" customHeight="1">
      <c r="A783" s="3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ht="14.25" customHeight="1">
      <c r="A784" s="3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ht="14.25" customHeight="1">
      <c r="A785" s="3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ht="14.25" customHeight="1">
      <c r="A786" s="3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ht="14.25" customHeight="1">
      <c r="A787" s="3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ht="14.25" customHeight="1">
      <c r="A788" s="3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ht="14.25" customHeight="1">
      <c r="A789" s="3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ht="14.25" customHeight="1">
      <c r="A790" s="3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ht="14.25" customHeight="1">
      <c r="A791" s="3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ht="14.25" customHeight="1">
      <c r="A792" s="3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ht="14.25" customHeight="1">
      <c r="A793" s="3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ht="14.25" customHeight="1">
      <c r="A794" s="3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ht="14.25" customHeight="1">
      <c r="A795" s="3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ht="14.25" customHeight="1">
      <c r="A796" s="3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ht="14.25" customHeight="1">
      <c r="A797" s="3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ht="14.25" customHeight="1">
      <c r="A798" s="3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ht="14.25" customHeight="1">
      <c r="A799" s="3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ht="14.25" customHeight="1">
      <c r="A800" s="3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ht="14.25" customHeight="1">
      <c r="A801" s="3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ht="14.25" customHeight="1">
      <c r="A802" s="3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ht="14.25" customHeight="1">
      <c r="A803" s="3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ht="14.25" customHeight="1">
      <c r="A804" s="3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ht="14.25" customHeight="1">
      <c r="A805" s="3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ht="14.25" customHeight="1">
      <c r="A806" s="3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ht="14.25" customHeight="1">
      <c r="A807" s="3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ht="14.25" customHeight="1">
      <c r="A808" s="3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ht="14.25" customHeight="1">
      <c r="A809" s="3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ht="14.25" customHeight="1">
      <c r="A810" s="3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ht="14.25" customHeight="1">
      <c r="A811" s="3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ht="14.25" customHeight="1">
      <c r="A812" s="3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ht="14.25" customHeight="1">
      <c r="A813" s="3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ht="14.25" customHeight="1">
      <c r="A814" s="3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ht="14.25" customHeight="1">
      <c r="A815" s="3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ht="14.25" customHeight="1">
      <c r="A816" s="3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ht="14.25" customHeight="1">
      <c r="A817" s="3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ht="14.25" customHeight="1">
      <c r="A818" s="3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ht="14.25" customHeight="1">
      <c r="A819" s="3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ht="14.25" customHeight="1">
      <c r="A820" s="3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ht="14.25" customHeight="1">
      <c r="A821" s="3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ht="14.25" customHeight="1">
      <c r="A822" s="3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ht="14.25" customHeight="1">
      <c r="A823" s="3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ht="14.25" customHeight="1">
      <c r="A824" s="3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ht="14.25" customHeight="1">
      <c r="A825" s="3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ht="14.25" customHeight="1">
      <c r="A826" s="3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ht="14.25" customHeight="1">
      <c r="A827" s="3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ht="14.25" customHeight="1">
      <c r="A828" s="3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ht="14.25" customHeight="1">
      <c r="A829" s="3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ht="14.25" customHeight="1">
      <c r="A830" s="3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ht="14.25" customHeight="1">
      <c r="A831" s="3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ht="14.25" customHeight="1">
      <c r="A832" s="3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ht="14.25" customHeight="1">
      <c r="A833" s="3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ht="14.25" customHeight="1">
      <c r="A834" s="3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ht="14.25" customHeight="1">
      <c r="A835" s="3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ht="14.25" customHeight="1">
      <c r="A836" s="3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ht="14.25" customHeight="1">
      <c r="A837" s="3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ht="14.25" customHeight="1">
      <c r="A838" s="3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ht="14.25" customHeight="1">
      <c r="A839" s="3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ht="14.25" customHeight="1">
      <c r="A840" s="3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ht="14.25" customHeight="1">
      <c r="A841" s="3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ht="14.25" customHeight="1">
      <c r="A842" s="3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ht="14.25" customHeight="1">
      <c r="A843" s="3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ht="14.25" customHeight="1">
      <c r="A844" s="3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ht="14.25" customHeight="1">
      <c r="A845" s="3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ht="14.25" customHeight="1">
      <c r="A846" s="3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ht="14.25" customHeight="1">
      <c r="A847" s="3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ht="14.25" customHeight="1">
      <c r="A848" s="3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ht="14.25" customHeight="1">
      <c r="A849" s="3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ht="14.25" customHeight="1">
      <c r="A850" s="3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ht="14.25" customHeight="1">
      <c r="A851" s="3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ht="14.25" customHeight="1">
      <c r="A852" s="3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ht="14.25" customHeight="1">
      <c r="A853" s="3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ht="14.25" customHeight="1">
      <c r="A854" s="3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ht="14.25" customHeight="1">
      <c r="A855" s="3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ht="14.25" customHeight="1">
      <c r="A856" s="3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ht="14.25" customHeight="1">
      <c r="A857" s="3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ht="14.25" customHeight="1">
      <c r="A858" s="3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ht="14.25" customHeight="1">
      <c r="A859" s="3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ht="14.25" customHeight="1">
      <c r="A860" s="3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ht="14.25" customHeight="1">
      <c r="A861" s="3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ht="14.25" customHeight="1">
      <c r="A862" s="3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ht="14.25" customHeight="1">
      <c r="A863" s="3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ht="14.25" customHeight="1">
      <c r="A864" s="3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ht="14.25" customHeight="1">
      <c r="A865" s="3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ht="14.25" customHeight="1">
      <c r="A866" s="3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ht="14.25" customHeight="1">
      <c r="A867" s="3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ht="14.25" customHeight="1">
      <c r="A868" s="3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ht="14.25" customHeight="1">
      <c r="A869" s="3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ht="14.25" customHeight="1">
      <c r="A870" s="3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ht="14.25" customHeight="1">
      <c r="A871" s="3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ht="14.25" customHeight="1">
      <c r="A872" s="3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ht="14.25" customHeight="1">
      <c r="A873" s="3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ht="14.25" customHeight="1">
      <c r="A874" s="3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ht="14.25" customHeight="1">
      <c r="A875" s="3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ht="14.25" customHeight="1">
      <c r="A876" s="3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ht="14.25" customHeight="1">
      <c r="A877" s="3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ht="14.25" customHeight="1">
      <c r="A878" s="3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ht="14.25" customHeight="1">
      <c r="A879" s="3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ht="14.25" customHeight="1">
      <c r="A880" s="3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ht="14.25" customHeight="1">
      <c r="A881" s="3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ht="14.25" customHeight="1">
      <c r="A882" s="3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ht="14.25" customHeight="1">
      <c r="A883" s="3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ht="14.25" customHeight="1">
      <c r="A884" s="3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ht="14.25" customHeight="1">
      <c r="A885" s="3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ht="14.25" customHeight="1">
      <c r="A886" s="3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ht="14.25" customHeight="1">
      <c r="A887" s="3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ht="14.25" customHeight="1">
      <c r="A888" s="3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ht="14.25" customHeight="1">
      <c r="A889" s="3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ht="14.25" customHeight="1">
      <c r="A890" s="3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ht="14.25" customHeight="1">
      <c r="A891" s="3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ht="14.25" customHeight="1">
      <c r="A892" s="3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ht="14.25" customHeight="1">
      <c r="A893" s="3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ht="14.25" customHeight="1">
      <c r="A894" s="3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ht="14.25" customHeight="1">
      <c r="A895" s="3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ht="14.25" customHeight="1">
      <c r="A896" s="3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ht="14.25" customHeight="1">
      <c r="A897" s="3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ht="14.25" customHeight="1">
      <c r="A898" s="3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ht="14.25" customHeight="1">
      <c r="A899" s="3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ht="14.25" customHeight="1">
      <c r="A900" s="3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ht="14.25" customHeight="1">
      <c r="A901" s="3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ht="14.25" customHeight="1">
      <c r="A902" s="3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ht="14.25" customHeight="1">
      <c r="A903" s="3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ht="14.25" customHeight="1">
      <c r="A904" s="3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ht="14.25" customHeight="1">
      <c r="A905" s="3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ht="14.25" customHeight="1">
      <c r="A906" s="3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ht="14.25" customHeight="1">
      <c r="A907" s="3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ht="14.25" customHeight="1">
      <c r="A908" s="3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ht="14.25" customHeight="1">
      <c r="A909" s="3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ht="14.25" customHeight="1">
      <c r="A910" s="3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ht="14.25" customHeight="1">
      <c r="A911" s="3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ht="14.25" customHeight="1">
      <c r="A912" s="3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ht="14.25" customHeight="1">
      <c r="A913" s="3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ht="14.25" customHeight="1">
      <c r="A914" s="3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ht="14.25" customHeight="1">
      <c r="A915" s="3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ht="14.25" customHeight="1">
      <c r="A916" s="3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ht="14.25" customHeight="1">
      <c r="A917" s="3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ht="14.25" customHeight="1">
      <c r="A918" s="3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ht="14.25" customHeight="1">
      <c r="A919" s="3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ht="14.25" customHeight="1">
      <c r="A920" s="3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ht="14.25" customHeight="1">
      <c r="A921" s="3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ht="14.25" customHeight="1">
      <c r="A922" s="3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ht="14.25" customHeight="1">
      <c r="A923" s="3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ht="14.25" customHeight="1">
      <c r="A924" s="3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ht="14.25" customHeight="1">
      <c r="A925" s="3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ht="14.25" customHeight="1">
      <c r="A926" s="3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ht="14.25" customHeight="1">
      <c r="A927" s="3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ht="14.25" customHeight="1">
      <c r="A928" s="3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ht="14.25" customHeight="1">
      <c r="A929" s="3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ht="14.25" customHeight="1">
      <c r="A930" s="3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ht="14.25" customHeight="1">
      <c r="A931" s="3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ht="14.25" customHeight="1">
      <c r="A932" s="3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ht="14.25" customHeight="1">
      <c r="A933" s="3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ht="14.25" customHeight="1">
      <c r="A934" s="3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ht="14.25" customHeight="1">
      <c r="A935" s="3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ht="14.25" customHeight="1">
      <c r="A936" s="3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ht="14.25" customHeight="1">
      <c r="A937" s="3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ht="14.25" customHeight="1">
      <c r="A938" s="3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ht="14.25" customHeight="1">
      <c r="A939" s="3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ht="14.25" customHeight="1">
      <c r="A940" s="3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ht="14.25" customHeight="1">
      <c r="A941" s="3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ht="14.25" customHeight="1">
      <c r="A942" s="3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ht="14.25" customHeight="1">
      <c r="A943" s="3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ht="14.25" customHeight="1">
      <c r="A944" s="3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ht="14.25" customHeight="1">
      <c r="A945" s="3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ht="14.25" customHeight="1">
      <c r="A946" s="3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ht="14.25" customHeight="1">
      <c r="A947" s="3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ht="14.25" customHeight="1">
      <c r="A948" s="3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ht="14.25" customHeight="1">
      <c r="A949" s="3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ht="14.25" customHeight="1">
      <c r="A950" s="3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ht="14.25" customHeight="1">
      <c r="A951" s="3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ht="14.25" customHeight="1">
      <c r="A952" s="3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ht="14.25" customHeight="1">
      <c r="A953" s="3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ht="14.25" customHeight="1">
      <c r="A954" s="3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ht="14.25" customHeight="1">
      <c r="A955" s="3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ht="14.25" customHeight="1">
      <c r="A956" s="3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ht="14.25" customHeight="1">
      <c r="A957" s="3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ht="14.25" customHeight="1">
      <c r="A958" s="3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ht="14.25" customHeight="1">
      <c r="A959" s="3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ht="14.25" customHeight="1">
      <c r="A960" s="3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ht="14.25" customHeight="1">
      <c r="A961" s="3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</sheetData>
  <mergeCells count="1">
    <mergeCell ref="A1:F1"/>
  </mergeCells>
  <printOptions gridLines="1"/>
  <pageMargins bottom="0.25" footer="0.0" header="0.0" left="0.25" right="0.2" top="0.2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3.75"/>
    <col customWidth="1" min="2" max="2" width="12.75"/>
    <col customWidth="1" min="3" max="3" width="11.88"/>
    <col customWidth="1" min="4" max="4" width="9.75"/>
    <col customWidth="1" min="5" max="5" width="9.0"/>
    <col customWidth="1" min="6" max="6" width="9.75"/>
    <col customWidth="1" min="7" max="7" width="11.88"/>
    <col customWidth="1" min="8" max="8" width="12.75"/>
    <col customWidth="1" min="9" max="9" width="12.13"/>
    <col customWidth="1" min="10" max="10" width="21.75"/>
    <col customWidth="1" min="11" max="11" width="18.38"/>
    <col customWidth="1" min="12" max="12" width="9.75"/>
    <col customWidth="1" min="13" max="13" width="9.5"/>
    <col customWidth="1" min="14" max="14" width="11.13"/>
    <col customWidth="1" min="15" max="15" width="11.63"/>
    <col customWidth="1" min="16" max="16" width="14.25"/>
    <col customWidth="1" min="17" max="17" width="10.13"/>
    <col customWidth="1" min="18" max="18" width="12.5"/>
    <col customWidth="1" min="19" max="19" width="13.75"/>
    <col customWidth="1" min="20" max="20" width="8.0"/>
    <col customWidth="1" min="21" max="27" width="8.63"/>
  </cols>
  <sheetData>
    <row r="1" ht="14.25" customHeight="1">
      <c r="A1" s="38"/>
      <c r="B1" s="38"/>
      <c r="C1" s="39"/>
      <c r="D1" s="38"/>
      <c r="E1" s="38"/>
      <c r="F1" s="38"/>
      <c r="G1" s="38"/>
      <c r="H1" s="38"/>
      <c r="I1" s="38"/>
      <c r="J1" s="38"/>
      <c r="K1" s="38"/>
      <c r="L1" s="38"/>
      <c r="M1" s="34"/>
      <c r="N1" s="34"/>
      <c r="O1" s="34"/>
      <c r="P1" s="34"/>
      <c r="Q1" s="34"/>
      <c r="R1" s="34"/>
      <c r="S1" s="34"/>
      <c r="T1" s="40"/>
      <c r="U1" s="34"/>
      <c r="V1" s="34"/>
      <c r="W1" s="34"/>
      <c r="X1" s="34"/>
      <c r="Y1" s="34"/>
      <c r="Z1" s="34"/>
      <c r="AA1" s="34"/>
    </row>
    <row r="2" ht="14.25" customHeight="1">
      <c r="A2" s="41" t="s">
        <v>44</v>
      </c>
      <c r="M2" s="34"/>
      <c r="N2" s="34"/>
      <c r="O2" s="34"/>
      <c r="P2" s="34"/>
      <c r="Q2" s="34"/>
      <c r="R2" s="34"/>
      <c r="S2" s="34"/>
      <c r="T2" s="40"/>
      <c r="U2" s="34"/>
      <c r="V2" s="34"/>
      <c r="W2" s="34"/>
      <c r="X2" s="34"/>
      <c r="Y2" s="34"/>
      <c r="Z2" s="34"/>
      <c r="AA2" s="34"/>
    </row>
    <row r="3" ht="14.25" customHeight="1">
      <c r="A3" s="40" t="s">
        <v>45</v>
      </c>
      <c r="B3" s="40" t="s">
        <v>46</v>
      </c>
      <c r="C3" s="42" t="s">
        <v>47</v>
      </c>
      <c r="D3" s="40" t="s">
        <v>48</v>
      </c>
      <c r="E3" s="42" t="s">
        <v>49</v>
      </c>
      <c r="F3" s="42" t="s">
        <v>50</v>
      </c>
      <c r="G3" s="42" t="s">
        <v>51</v>
      </c>
      <c r="H3" s="42" t="s">
        <v>52</v>
      </c>
      <c r="I3" s="40" t="s">
        <v>53</v>
      </c>
      <c r="J3" s="40" t="s">
        <v>54</v>
      </c>
      <c r="K3" s="40" t="s">
        <v>55</v>
      </c>
      <c r="L3" s="40" t="s">
        <v>56</v>
      </c>
      <c r="M3" s="34"/>
      <c r="N3" s="34"/>
      <c r="O3" s="34"/>
      <c r="P3" s="34"/>
      <c r="Q3" s="34"/>
      <c r="R3" s="34"/>
      <c r="S3" s="34"/>
      <c r="T3" s="40"/>
      <c r="U3" s="34"/>
      <c r="V3" s="34"/>
      <c r="W3" s="34"/>
      <c r="X3" s="34"/>
      <c r="Y3" s="34"/>
      <c r="Z3" s="34"/>
      <c r="AA3" s="34"/>
    </row>
    <row r="4" ht="14.25" customHeight="1">
      <c r="A4" s="40" t="s">
        <v>57</v>
      </c>
      <c r="B4" s="43">
        <v>100.0</v>
      </c>
      <c r="C4" s="42" t="s">
        <v>58</v>
      </c>
      <c r="D4" s="43">
        <v>200.0</v>
      </c>
      <c r="E4" s="43">
        <f>B4*D4</f>
        <v>20000</v>
      </c>
      <c r="F4" s="44">
        <f>E4/43560</f>
        <v>0.4591368228</v>
      </c>
      <c r="G4" s="40">
        <v>150.0</v>
      </c>
      <c r="H4" s="45">
        <f>F4*G4</f>
        <v>68.87052342</v>
      </c>
      <c r="I4" s="46">
        <f>E4*0.9</f>
        <v>18000</v>
      </c>
      <c r="J4" s="46">
        <f>E4*0.1</f>
        <v>2000</v>
      </c>
      <c r="K4" s="47">
        <v>0.05</v>
      </c>
      <c r="L4" s="40" t="s">
        <v>59</v>
      </c>
      <c r="M4" s="34"/>
      <c r="N4" s="34"/>
      <c r="O4" s="34"/>
      <c r="P4" s="34"/>
      <c r="Q4" s="34"/>
      <c r="R4" s="34"/>
      <c r="S4" s="34"/>
      <c r="T4" s="40"/>
      <c r="U4" s="34"/>
      <c r="V4" s="34"/>
      <c r="W4" s="34"/>
      <c r="X4" s="34"/>
      <c r="Y4" s="34"/>
      <c r="Z4" s="34"/>
      <c r="AA4" s="34"/>
    </row>
    <row r="5">
      <c r="A5" s="48"/>
      <c r="B5" s="49"/>
      <c r="C5" s="49"/>
      <c r="D5" s="49"/>
      <c r="E5" s="50"/>
      <c r="F5" s="51"/>
      <c r="G5" s="52"/>
      <c r="H5" s="53"/>
      <c r="I5" s="54"/>
      <c r="J5" s="54"/>
      <c r="K5" s="49"/>
      <c r="L5" s="49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4.25" customHeight="1">
      <c r="A6" s="41" t="s">
        <v>60</v>
      </c>
      <c r="I6" s="55"/>
      <c r="J6" s="41" t="s">
        <v>61</v>
      </c>
      <c r="K6" s="56"/>
      <c r="L6" s="56"/>
      <c r="M6" s="33"/>
      <c r="N6" s="33"/>
      <c r="O6" s="33"/>
      <c r="P6" s="33"/>
      <c r="Q6" s="33"/>
      <c r="R6" s="33"/>
      <c r="S6" s="33"/>
      <c r="T6" s="33"/>
    </row>
    <row r="7" ht="14.25" customHeight="1">
      <c r="A7" s="57" t="s">
        <v>62</v>
      </c>
      <c r="B7" s="58" t="s">
        <v>63</v>
      </c>
      <c r="C7" s="58" t="s">
        <v>64</v>
      </c>
      <c r="D7" s="58" t="s">
        <v>65</v>
      </c>
      <c r="E7" s="58" t="s">
        <v>66</v>
      </c>
      <c r="F7" s="59" t="s">
        <v>67</v>
      </c>
      <c r="G7" s="58" t="s">
        <v>68</v>
      </c>
      <c r="H7" s="58" t="s">
        <v>69</v>
      </c>
      <c r="I7" s="58"/>
      <c r="J7" s="60" t="s">
        <v>70</v>
      </c>
      <c r="K7" s="33"/>
      <c r="L7" s="33"/>
      <c r="M7" s="33"/>
      <c r="N7" s="33"/>
      <c r="O7" s="33"/>
      <c r="P7" s="33"/>
      <c r="Q7" s="33"/>
      <c r="R7" s="33"/>
      <c r="S7" s="33"/>
      <c r="T7" s="33"/>
    </row>
    <row r="8" ht="14.25" customHeight="1">
      <c r="A8" s="61" t="s">
        <v>71</v>
      </c>
      <c r="B8" s="40" t="s">
        <v>72</v>
      </c>
      <c r="C8" s="40" t="s">
        <v>73</v>
      </c>
      <c r="D8" s="40" t="s">
        <v>74</v>
      </c>
      <c r="E8" s="34"/>
      <c r="F8" s="40" t="s">
        <v>75</v>
      </c>
      <c r="G8" s="40" t="s">
        <v>76</v>
      </c>
      <c r="H8" s="40" t="s">
        <v>77</v>
      </c>
      <c r="J8" s="62" t="s">
        <v>78</v>
      </c>
      <c r="K8" s="4"/>
      <c r="L8" s="4"/>
      <c r="M8" s="4"/>
      <c r="N8" s="4"/>
      <c r="O8" s="4"/>
      <c r="P8" s="4"/>
      <c r="Q8" s="4"/>
      <c r="R8" s="4"/>
      <c r="S8" s="4"/>
      <c r="T8" s="4"/>
    </row>
    <row r="9" ht="14.25" customHeight="1">
      <c r="A9" s="63"/>
      <c r="B9" s="64"/>
      <c r="C9" s="65"/>
      <c r="D9" s="64"/>
      <c r="E9" s="66"/>
      <c r="F9" s="67"/>
      <c r="G9" s="68"/>
      <c r="H9" s="68"/>
      <c r="I9" s="68"/>
      <c r="J9" s="69"/>
      <c r="K9" s="70"/>
      <c r="L9" s="70"/>
      <c r="M9" s="70"/>
      <c r="N9" s="70"/>
      <c r="O9" s="70"/>
      <c r="P9" s="70"/>
      <c r="Q9" s="70"/>
      <c r="R9" s="70"/>
      <c r="S9" s="70"/>
      <c r="T9" s="70"/>
      <c r="U9" s="71"/>
      <c r="V9" s="71"/>
      <c r="W9" s="71"/>
      <c r="X9" s="71"/>
      <c r="Y9" s="71"/>
      <c r="Z9" s="71"/>
      <c r="AA9" s="71"/>
    </row>
    <row r="10" ht="14.25" customHeight="1">
      <c r="A10" s="72"/>
      <c r="B10" s="73" t="s">
        <v>79</v>
      </c>
      <c r="C10" s="74" t="s">
        <v>80</v>
      </c>
      <c r="D10" s="73" t="s">
        <v>81</v>
      </c>
      <c r="E10" s="75"/>
      <c r="F10" s="76"/>
      <c r="G10" s="70"/>
      <c r="H10" s="70"/>
      <c r="I10" s="70"/>
      <c r="J10" s="77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1"/>
      <c r="V10" s="71"/>
      <c r="W10" s="71"/>
      <c r="X10" s="71"/>
      <c r="Y10" s="71"/>
      <c r="Z10" s="71"/>
      <c r="AA10" s="71"/>
    </row>
    <row r="11" ht="14.25" customHeight="1">
      <c r="A11" s="78"/>
      <c r="B11" s="79">
        <f>120/5</f>
        <v>24</v>
      </c>
      <c r="C11" s="80">
        <f>C35/1000*3</f>
        <v>10.588875</v>
      </c>
      <c r="D11" s="79">
        <f>(180/2)+(180/15)</f>
        <v>102</v>
      </c>
      <c r="E11" s="80">
        <f>SUM(A11:D11)</f>
        <v>136.588875</v>
      </c>
      <c r="F11" s="81">
        <f>9*15*E11</f>
        <v>18439.49813</v>
      </c>
      <c r="G11" s="82"/>
      <c r="H11" s="82"/>
      <c r="I11" s="82"/>
      <c r="J11" s="83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1"/>
      <c r="V11" s="71"/>
      <c r="W11" s="71"/>
      <c r="X11" s="71"/>
      <c r="Y11" s="71"/>
      <c r="Z11" s="71"/>
      <c r="AA11" s="71"/>
    </row>
    <row r="12" ht="14.25" customHeight="1">
      <c r="A12" s="84"/>
      <c r="B12" s="84"/>
      <c r="C12" s="84"/>
      <c r="D12" s="84"/>
      <c r="E12" s="84"/>
      <c r="F12" s="84"/>
      <c r="G12" s="85"/>
      <c r="H12" s="85"/>
      <c r="I12" s="85"/>
      <c r="J12" s="85"/>
      <c r="K12" s="85"/>
      <c r="L12" s="85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4.25" customHeight="1">
      <c r="A13" s="86" t="s">
        <v>82</v>
      </c>
      <c r="I13" s="87"/>
      <c r="J13" s="87"/>
      <c r="K13" s="87"/>
      <c r="L13" s="87"/>
      <c r="M13" s="4"/>
      <c r="N13" s="4"/>
      <c r="O13" s="4"/>
      <c r="P13" s="4"/>
      <c r="Q13" s="4"/>
      <c r="R13" s="4"/>
      <c r="S13" s="4"/>
      <c r="T13" s="4"/>
    </row>
    <row r="14" ht="14.25" customHeight="1">
      <c r="A14" s="33" t="s">
        <v>83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ht="14.25" customHeight="1">
      <c r="A15" s="33" t="s">
        <v>84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ht="14.25" customHeight="1">
      <c r="A16" s="33" t="s">
        <v>85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ht="14.25" customHeight="1">
      <c r="A17" s="33" t="s">
        <v>86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ht="14.25" customHeight="1">
      <c r="A18" s="88" t="s">
        <v>87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ht="14.25" customHeight="1">
      <c r="A19" s="33" t="s">
        <v>88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ht="14.25" customHeight="1">
      <c r="A20" s="33" t="s">
        <v>89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ht="14.25" customHeight="1">
      <c r="A21" s="39"/>
      <c r="B21" s="89"/>
      <c r="C21" s="39"/>
      <c r="D21" s="90"/>
      <c r="E21" s="91"/>
      <c r="F21" s="89"/>
      <c r="G21" s="85"/>
      <c r="H21" s="84"/>
      <c r="I21" s="85"/>
      <c r="J21" s="85"/>
      <c r="K21" s="85"/>
      <c r="L21" s="85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4.25" customHeight="1">
      <c r="A22" s="41" t="s">
        <v>90</v>
      </c>
      <c r="G22" s="87"/>
      <c r="H22" s="92"/>
      <c r="I22" s="87"/>
      <c r="J22" s="87"/>
      <c r="K22" s="87"/>
      <c r="L22" s="87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4.25" customHeight="1">
      <c r="A23" s="42" t="s">
        <v>91</v>
      </c>
      <c r="B23" s="93" t="s">
        <v>92</v>
      </c>
      <c r="C23" s="42" t="s">
        <v>93</v>
      </c>
      <c r="D23" s="94" t="s">
        <v>94</v>
      </c>
      <c r="E23" s="94" t="s">
        <v>95</v>
      </c>
      <c r="F23" s="93" t="s">
        <v>96</v>
      </c>
      <c r="G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4.25" customHeight="1">
      <c r="A24" s="34" t="s">
        <v>97</v>
      </c>
      <c r="B24" s="4">
        <v>0.0</v>
      </c>
      <c r="C24" s="4">
        <v>0.0</v>
      </c>
      <c r="D24" s="4">
        <v>10.0</v>
      </c>
      <c r="E24" s="4">
        <v>15.0</v>
      </c>
      <c r="F24" s="4"/>
      <c r="G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4.25" customHeight="1">
      <c r="A25" s="34" t="s">
        <v>98</v>
      </c>
      <c r="B25" s="4">
        <v>10.0</v>
      </c>
      <c r="C25" s="4">
        <v>10.0</v>
      </c>
      <c r="D25" s="4">
        <v>20.0</v>
      </c>
      <c r="E25" s="4">
        <v>25.0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4.25" customHeight="1">
      <c r="A26" s="34" t="s">
        <v>99</v>
      </c>
      <c r="B26" s="4">
        <v>20.0</v>
      </c>
      <c r="C26" s="4">
        <v>20.0</v>
      </c>
      <c r="D26" s="4">
        <v>30.0</v>
      </c>
      <c r="E26" s="4">
        <v>35.0</v>
      </c>
      <c r="F26" s="4"/>
      <c r="G26" s="4"/>
      <c r="H26" s="9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4.25" customHeight="1">
      <c r="A27" s="34" t="s">
        <v>100</v>
      </c>
      <c r="B27" s="19">
        <v>0.0</v>
      </c>
      <c r="C27" s="4"/>
      <c r="D27" s="19">
        <v>10.0</v>
      </c>
      <c r="E27" s="19">
        <v>15.0</v>
      </c>
      <c r="F27" s="4"/>
      <c r="G27" s="96"/>
      <c r="H27" s="9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4.25" customHeight="1">
      <c r="A28" s="40" t="s">
        <v>101</v>
      </c>
      <c r="B28" s="33">
        <v>5.0</v>
      </c>
      <c r="C28" s="88"/>
      <c r="D28" s="33">
        <v>9.0</v>
      </c>
      <c r="E28" s="33">
        <v>10.0</v>
      </c>
      <c r="F28" s="33">
        <f>SUM(B28:E28)</f>
        <v>24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4.25" customHeight="1">
      <c r="A29" s="40" t="s">
        <v>102</v>
      </c>
      <c r="B29" s="95">
        <f>(25*100)+(10*200)</f>
        <v>4500</v>
      </c>
      <c r="C29" s="95"/>
      <c r="D29" s="95">
        <f>(45*100)+(30*200)</f>
        <v>10500</v>
      </c>
      <c r="E29" s="95">
        <f>(55*100)+(40*200)</f>
        <v>13500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4.25" customHeight="1">
      <c r="A30" s="34" t="s">
        <v>103</v>
      </c>
      <c r="B30" s="97" t="s">
        <v>104</v>
      </c>
      <c r="C30" s="97" t="s">
        <v>105</v>
      </c>
      <c r="D30" s="97" t="s">
        <v>106</v>
      </c>
      <c r="E30" s="97" t="s">
        <v>107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4.25" customHeight="1">
      <c r="A31" s="40" t="s">
        <v>108</v>
      </c>
      <c r="B31" s="96">
        <f>88.75*178.75</f>
        <v>15864.0625</v>
      </c>
      <c r="C31" s="96">
        <f>37.75*93.5</f>
        <v>3529.625</v>
      </c>
      <c r="D31" s="96">
        <f>70*160</f>
        <v>11200</v>
      </c>
      <c r="E31" s="96">
        <f>60*150</f>
        <v>9000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4.25" customHeight="1">
      <c r="A32" s="40" t="s">
        <v>109</v>
      </c>
      <c r="B32" s="96">
        <f>B31*B28</f>
        <v>79320.3125</v>
      </c>
      <c r="C32" s="96">
        <f>C31</f>
        <v>3529.625</v>
      </c>
      <c r="D32" s="96">
        <f t="shared" ref="D32:E32" si="1">D31*D28</f>
        <v>100800</v>
      </c>
      <c r="E32" s="96">
        <f t="shared" si="1"/>
        <v>90000</v>
      </c>
      <c r="F32" s="96">
        <f>SUM(B32:E32)</f>
        <v>273649.9375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4.25" customHeight="1">
      <c r="A33" s="98"/>
      <c r="B33" s="99"/>
      <c r="C33" s="99"/>
      <c r="D33" s="99"/>
      <c r="E33" s="99"/>
      <c r="F33" s="9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4.25" customHeight="1">
      <c r="A34" s="100" t="s">
        <v>110</v>
      </c>
      <c r="B34" s="95">
        <f>B31</f>
        <v>15864.0625</v>
      </c>
      <c r="C34" s="95"/>
      <c r="D34" s="95"/>
      <c r="E34" s="95"/>
      <c r="F34" s="96">
        <f t="shared" ref="F34:F38" si="3">SUM(B34:E34)</f>
        <v>15864.0625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4.25" customHeight="1">
      <c r="A35" s="100" t="s">
        <v>111</v>
      </c>
      <c r="B35" s="95">
        <f t="shared" ref="B35:C35" si="2">B31</f>
        <v>15864.0625</v>
      </c>
      <c r="C35" s="95">
        <f t="shared" si="2"/>
        <v>3529.625</v>
      </c>
      <c r="D35" s="95"/>
      <c r="E35" s="95"/>
      <c r="F35" s="96">
        <f t="shared" si="3"/>
        <v>19393.6875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4.25" customHeight="1">
      <c r="A36" s="100" t="s">
        <v>112</v>
      </c>
      <c r="B36" s="95">
        <f>B31*3</f>
        <v>47592.1875</v>
      </c>
      <c r="C36" s="95"/>
      <c r="D36" s="95"/>
      <c r="E36" s="95"/>
      <c r="F36" s="96">
        <f t="shared" si="3"/>
        <v>47592.1875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4.25" customHeight="1">
      <c r="A37" s="101" t="s">
        <v>113</v>
      </c>
      <c r="B37" s="95"/>
      <c r="C37" s="4"/>
      <c r="D37" s="4"/>
      <c r="E37" s="95">
        <f>E31</f>
        <v>9000</v>
      </c>
      <c r="F37" s="96">
        <f t="shared" si="3"/>
        <v>9000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4.25" customHeight="1">
      <c r="A38" s="101" t="s">
        <v>114</v>
      </c>
      <c r="B38" s="95"/>
      <c r="C38" s="95"/>
      <c r="D38" s="95">
        <f>D32-D36</f>
        <v>100800</v>
      </c>
      <c r="E38" s="95">
        <f>E32-E37</f>
        <v>81000</v>
      </c>
      <c r="F38" s="96">
        <f t="shared" si="3"/>
        <v>181800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4.25" customHeight="1">
      <c r="A39" s="102"/>
      <c r="B39" s="95"/>
      <c r="C39" s="95"/>
      <c r="D39" s="95"/>
      <c r="E39" s="95"/>
      <c r="F39" s="96">
        <f>SUM(F34:F38)</f>
        <v>273649.9375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4.25" customHeight="1">
      <c r="A40" s="3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4.25" customHeight="1">
      <c r="A41" s="103" t="s">
        <v>115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4.25" customHeight="1">
      <c r="A42" s="104" t="s">
        <v>116</v>
      </c>
      <c r="B42" s="102"/>
      <c r="C42" s="4"/>
      <c r="D42" s="4"/>
      <c r="E42" s="4"/>
      <c r="F42" s="105">
        <v>-3530.0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4.25" customHeight="1">
      <c r="A43" s="104" t="s">
        <v>117</v>
      </c>
      <c r="B43" s="102"/>
      <c r="C43" s="4"/>
      <c r="D43" s="4"/>
      <c r="E43" s="4"/>
      <c r="F43" s="105">
        <f>-F34+6125</f>
        <v>-9739.0625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4.25" customHeight="1">
      <c r="A44" s="104" t="s">
        <v>118</v>
      </c>
      <c r="C44" s="4"/>
      <c r="D44" s="4"/>
      <c r="E44" s="4"/>
      <c r="F44" s="96">
        <f>F39+F42+F43</f>
        <v>260380.875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4.25" customHeight="1">
      <c r="A45" s="3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4.25" customHeight="1">
      <c r="A46" s="3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4.25" customHeight="1">
      <c r="A47" s="3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4.25" customHeight="1">
      <c r="A48" s="3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4.25" customHeight="1">
      <c r="A49" s="3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4.25" customHeight="1">
      <c r="A50" s="3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4.25" customHeight="1">
      <c r="A51" s="3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4.25" customHeight="1">
      <c r="A52" s="3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4.25" customHeight="1">
      <c r="A53" s="3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4.25" customHeight="1">
      <c r="A54" s="3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4.25" customHeight="1">
      <c r="A55" s="3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4.25" customHeight="1">
      <c r="A56" s="3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4.25" customHeight="1">
      <c r="A57" s="3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4.25" customHeight="1">
      <c r="A58" s="3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4.25" customHeight="1">
      <c r="A59" s="3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4.25" customHeight="1">
      <c r="A60" s="3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4.25" customHeight="1">
      <c r="A61" s="3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4.25" customHeight="1">
      <c r="A62" s="3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4.25" customHeight="1">
      <c r="A63" s="3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4.25" customHeight="1">
      <c r="A64" s="3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4.25" customHeight="1">
      <c r="A65" s="3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4.25" customHeight="1">
      <c r="A66" s="3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4.25" customHeight="1">
      <c r="A67" s="3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4.25" customHeight="1">
      <c r="A68" s="3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4.25" customHeight="1">
      <c r="A69" s="3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4.25" customHeight="1">
      <c r="A70" s="3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4.25" customHeight="1">
      <c r="A71" s="3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4.25" customHeight="1">
      <c r="A72" s="3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4.25" customHeight="1">
      <c r="A73" s="3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4.25" customHeight="1">
      <c r="A74" s="3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4.25" customHeight="1">
      <c r="A75" s="3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4.25" customHeight="1">
      <c r="A76" s="3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4.25" customHeight="1">
      <c r="A77" s="3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4.25" customHeight="1">
      <c r="A78" s="3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4.25" customHeight="1">
      <c r="A79" s="3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4.25" customHeight="1">
      <c r="A80" s="3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4.25" customHeight="1">
      <c r="A81" s="3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4.25" customHeight="1">
      <c r="A82" s="3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4.25" customHeight="1">
      <c r="A83" s="3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4.25" customHeight="1">
      <c r="A84" s="3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4.25" customHeight="1">
      <c r="A85" s="3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4.25" customHeight="1">
      <c r="A86" s="3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4.25" customHeight="1">
      <c r="A87" s="3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4.25" customHeight="1">
      <c r="A88" s="3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4.25" customHeight="1">
      <c r="A89" s="3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4.25" customHeight="1">
      <c r="A90" s="3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4.25" customHeight="1">
      <c r="A91" s="3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4.25" customHeight="1">
      <c r="A92" s="3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4.25" customHeight="1">
      <c r="A93" s="3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4.25" customHeight="1">
      <c r="A94" s="3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4.25" customHeight="1">
      <c r="A95" s="3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4.25" customHeight="1">
      <c r="A96" s="3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4.25" customHeight="1">
      <c r="A97" s="3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4.25" customHeight="1">
      <c r="A98" s="3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4.25" customHeight="1">
      <c r="A99" s="3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4.25" customHeight="1">
      <c r="A100" s="3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4.25" customHeight="1">
      <c r="A101" s="3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4.25" customHeight="1">
      <c r="A102" s="3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4.25" customHeight="1">
      <c r="A103" s="3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4.25" customHeight="1">
      <c r="A104" s="3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4.25" customHeight="1">
      <c r="A105" s="3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4.25" customHeight="1">
      <c r="A106" s="3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4.25" customHeight="1">
      <c r="A107" s="3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4.25" customHeight="1">
      <c r="A108" s="3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4.25" customHeight="1">
      <c r="A109" s="3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4.25" customHeight="1">
      <c r="A110" s="3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4.25" customHeight="1">
      <c r="A111" s="3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4.25" customHeight="1">
      <c r="A112" s="3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4.25" customHeight="1">
      <c r="A113" s="3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4.25" customHeight="1">
      <c r="A114" s="3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4.25" customHeight="1">
      <c r="A115" s="3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4.25" customHeight="1">
      <c r="A116" s="3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4.25" customHeight="1">
      <c r="A117" s="3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4.25" customHeight="1">
      <c r="A118" s="3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4.25" customHeight="1">
      <c r="A119" s="3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4.25" customHeight="1">
      <c r="A120" s="3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4.25" customHeight="1">
      <c r="A121" s="3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4.25" customHeight="1">
      <c r="A122" s="3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4.25" customHeight="1">
      <c r="A123" s="3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4.25" customHeight="1">
      <c r="A124" s="3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4.25" customHeight="1">
      <c r="A125" s="3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4.25" customHeight="1">
      <c r="A126" s="3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4.25" customHeight="1">
      <c r="A127" s="3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4.25" customHeight="1">
      <c r="A128" s="3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4.25" customHeight="1">
      <c r="A129" s="3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4.25" customHeight="1">
      <c r="A130" s="3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4.25" customHeight="1">
      <c r="A131" s="3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4.25" customHeight="1">
      <c r="A132" s="3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4.25" customHeight="1">
      <c r="A133" s="3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4.25" customHeight="1">
      <c r="A134" s="3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4.25" customHeight="1">
      <c r="A135" s="3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4.25" customHeight="1">
      <c r="A136" s="3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4.25" customHeight="1">
      <c r="A137" s="3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4.25" customHeight="1">
      <c r="A138" s="3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4.25" customHeight="1">
      <c r="A139" s="3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4.25" customHeight="1">
      <c r="A140" s="3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4.25" customHeight="1">
      <c r="A141" s="3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4.25" customHeight="1">
      <c r="A142" s="3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4.25" customHeight="1">
      <c r="A143" s="3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4.25" customHeight="1">
      <c r="A144" s="3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4.25" customHeight="1">
      <c r="A145" s="3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4.25" customHeight="1">
      <c r="A146" s="3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4.25" customHeight="1">
      <c r="A147" s="3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4.25" customHeight="1">
      <c r="A148" s="3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4.25" customHeight="1">
      <c r="A149" s="3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4.25" customHeight="1">
      <c r="A150" s="3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4.25" customHeight="1">
      <c r="A151" s="3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4.25" customHeight="1">
      <c r="A152" s="3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4.25" customHeight="1">
      <c r="A153" s="3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4.25" customHeight="1">
      <c r="A154" s="3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4.25" customHeight="1">
      <c r="A155" s="3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4.25" customHeight="1">
      <c r="A156" s="3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4.25" customHeight="1">
      <c r="A157" s="3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4.25" customHeight="1">
      <c r="A158" s="3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4.25" customHeight="1">
      <c r="A159" s="3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4.25" customHeight="1">
      <c r="A160" s="3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4.25" customHeight="1">
      <c r="A161" s="3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4.25" customHeight="1">
      <c r="A162" s="3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4.25" customHeight="1">
      <c r="A163" s="3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4.25" customHeight="1">
      <c r="A164" s="3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4.25" customHeight="1">
      <c r="A165" s="3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4.25" customHeight="1">
      <c r="A166" s="3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4.25" customHeight="1">
      <c r="A167" s="3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4.25" customHeight="1">
      <c r="A168" s="3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4.25" customHeight="1">
      <c r="A169" s="3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4.25" customHeight="1">
      <c r="A170" s="3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4.25" customHeight="1">
      <c r="A171" s="3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4.25" customHeight="1">
      <c r="A172" s="3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4.25" customHeight="1">
      <c r="A173" s="3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4.25" customHeight="1">
      <c r="A174" s="3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4.25" customHeight="1">
      <c r="A175" s="3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4.25" customHeight="1">
      <c r="A176" s="3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4.25" customHeight="1">
      <c r="A177" s="3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4.25" customHeight="1">
      <c r="A178" s="3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4.25" customHeight="1">
      <c r="A179" s="3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4.25" customHeight="1">
      <c r="A180" s="3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4.25" customHeight="1">
      <c r="A181" s="3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4.25" customHeight="1">
      <c r="A182" s="3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4.25" customHeight="1">
      <c r="A183" s="3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4.25" customHeight="1">
      <c r="A184" s="3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4.25" customHeight="1">
      <c r="A185" s="3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4.25" customHeight="1">
      <c r="A186" s="3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4.25" customHeight="1">
      <c r="A187" s="3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4.25" customHeight="1">
      <c r="A188" s="3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4.25" customHeight="1">
      <c r="A189" s="3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4.25" customHeight="1">
      <c r="A190" s="3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4.25" customHeight="1">
      <c r="A191" s="3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4.25" customHeight="1">
      <c r="A192" s="3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4.25" customHeight="1">
      <c r="A193" s="3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4.25" customHeight="1">
      <c r="A194" s="3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4.25" customHeight="1">
      <c r="A195" s="3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4.25" customHeight="1">
      <c r="A196" s="3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4.25" customHeight="1">
      <c r="A197" s="3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4.25" customHeight="1">
      <c r="A198" s="3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4.25" customHeight="1">
      <c r="A199" s="3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4.25" customHeight="1">
      <c r="A200" s="3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4.25" customHeight="1">
      <c r="A201" s="3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4.25" customHeight="1">
      <c r="A202" s="3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4.25" customHeight="1">
      <c r="A203" s="3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4.25" customHeight="1">
      <c r="A204" s="3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4.25" customHeight="1">
      <c r="A205" s="3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4.25" customHeight="1">
      <c r="A206" s="3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4.25" customHeight="1">
      <c r="A207" s="3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4.25" customHeight="1">
      <c r="A208" s="3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4.25" customHeight="1">
      <c r="A209" s="3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4.25" customHeight="1">
      <c r="A210" s="3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4.25" customHeight="1">
      <c r="A211" s="3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4.25" customHeight="1">
      <c r="A212" s="3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4.25" customHeight="1">
      <c r="A213" s="3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4.25" customHeight="1">
      <c r="A214" s="3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4.25" customHeight="1">
      <c r="A215" s="3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4.25" customHeight="1">
      <c r="A216" s="3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4.25" customHeight="1">
      <c r="A217" s="3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4.25" customHeight="1">
      <c r="A218" s="3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4.25" customHeight="1">
      <c r="A219" s="3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4.25" customHeight="1">
      <c r="A220" s="3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4.25" customHeight="1">
      <c r="A221" s="3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4.25" customHeight="1">
      <c r="A222" s="3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4.25" customHeight="1">
      <c r="A223" s="3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4.25" customHeight="1">
      <c r="A224" s="3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4.25" customHeight="1">
      <c r="A225" s="3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4.25" customHeight="1">
      <c r="A226" s="3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4.25" customHeight="1">
      <c r="A227" s="3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4.25" customHeight="1">
      <c r="A228" s="3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4.25" customHeight="1">
      <c r="A229" s="3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4.25" customHeight="1">
      <c r="A230" s="3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4.25" customHeight="1">
      <c r="A231" s="3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4.25" customHeight="1">
      <c r="A232" s="3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4.25" customHeight="1">
      <c r="A233" s="3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4.25" customHeight="1">
      <c r="A234" s="3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4.25" customHeight="1">
      <c r="A235" s="3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4.25" customHeight="1">
      <c r="A236" s="3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4.25" customHeight="1">
      <c r="A237" s="3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4.25" customHeight="1">
      <c r="A238" s="3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4.25" customHeight="1">
      <c r="A239" s="3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4.25" customHeight="1">
      <c r="A240" s="3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4.25" customHeight="1">
      <c r="A241" s="3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4.25" customHeight="1">
      <c r="A242" s="3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4.25" customHeight="1">
      <c r="A243" s="3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4.25" customHeight="1">
      <c r="A244" s="3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4.25" customHeight="1">
      <c r="A245" s="3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4.25" customHeight="1">
      <c r="A246" s="3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4.25" customHeight="1">
      <c r="A247" s="3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4.25" customHeight="1">
      <c r="A248" s="3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4.25" customHeight="1">
      <c r="A249" s="3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4.25" customHeight="1">
      <c r="A250" s="3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4.25" customHeight="1">
      <c r="A251" s="3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4.25" customHeight="1">
      <c r="A252" s="3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4.25" customHeight="1">
      <c r="A253" s="3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4.25" customHeight="1">
      <c r="A254" s="3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4.25" customHeight="1">
      <c r="A255" s="3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4.25" customHeight="1">
      <c r="A256" s="3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4.25" customHeight="1">
      <c r="A257" s="3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4.25" customHeight="1">
      <c r="A258" s="3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4.25" customHeight="1">
      <c r="A259" s="3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4.25" customHeight="1">
      <c r="A260" s="3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4.25" customHeight="1">
      <c r="A261" s="3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4.25" customHeight="1">
      <c r="A262" s="3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4.25" customHeight="1">
      <c r="A263" s="3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4.25" customHeight="1">
      <c r="A264" s="3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4.25" customHeight="1">
      <c r="A265" s="3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4.25" customHeight="1">
      <c r="A266" s="3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4.25" customHeight="1">
      <c r="A267" s="3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4.25" customHeight="1">
      <c r="A268" s="3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4.25" customHeight="1">
      <c r="A269" s="3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4.25" customHeight="1">
      <c r="A270" s="3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4.25" customHeight="1">
      <c r="A271" s="3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4.25" customHeight="1">
      <c r="A272" s="3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4.25" customHeight="1">
      <c r="A273" s="3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4.25" customHeight="1">
      <c r="A274" s="3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4.25" customHeight="1">
      <c r="A275" s="3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4.25" customHeight="1">
      <c r="A276" s="3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4.25" customHeight="1">
      <c r="A277" s="3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4.25" customHeight="1">
      <c r="A278" s="3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4.25" customHeight="1">
      <c r="A279" s="3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4.25" customHeight="1">
      <c r="A280" s="3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4.25" customHeight="1">
      <c r="A281" s="3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4.25" customHeight="1">
      <c r="A282" s="3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4.25" customHeight="1">
      <c r="A283" s="3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4.25" customHeight="1">
      <c r="A284" s="3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4.25" customHeight="1">
      <c r="A285" s="3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4.25" customHeight="1">
      <c r="A286" s="3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4.25" customHeight="1">
      <c r="A287" s="3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4.25" customHeight="1">
      <c r="A288" s="3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4.25" customHeight="1">
      <c r="A289" s="3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4.25" customHeight="1">
      <c r="A290" s="3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4.25" customHeight="1">
      <c r="A291" s="3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4.25" customHeight="1">
      <c r="A292" s="3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4.25" customHeight="1">
      <c r="A293" s="3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4.25" customHeight="1">
      <c r="A294" s="3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4.25" customHeight="1">
      <c r="A295" s="3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4.25" customHeight="1">
      <c r="A296" s="3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4.25" customHeight="1">
      <c r="A297" s="3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4.25" customHeight="1">
      <c r="A298" s="3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4.25" customHeight="1">
      <c r="A299" s="3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4.25" customHeight="1">
      <c r="A300" s="3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4.25" customHeight="1">
      <c r="A301" s="3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4.25" customHeight="1">
      <c r="A302" s="3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4.25" customHeight="1">
      <c r="A303" s="3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4.25" customHeight="1">
      <c r="A304" s="3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4.25" customHeight="1">
      <c r="A305" s="3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4.25" customHeight="1">
      <c r="A306" s="3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4.25" customHeight="1">
      <c r="A307" s="3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4.25" customHeight="1">
      <c r="A308" s="3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4.25" customHeight="1">
      <c r="A309" s="3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4.25" customHeight="1">
      <c r="A310" s="3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4.25" customHeight="1">
      <c r="A311" s="3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4.25" customHeight="1">
      <c r="A312" s="3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4.25" customHeight="1">
      <c r="A313" s="3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4.25" customHeight="1">
      <c r="A314" s="3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4.25" customHeight="1">
      <c r="A315" s="3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4.25" customHeight="1">
      <c r="A316" s="3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4.25" customHeight="1">
      <c r="A317" s="3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4.25" customHeight="1">
      <c r="A318" s="3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4.25" customHeight="1">
      <c r="A319" s="3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4.25" customHeight="1">
      <c r="A320" s="3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4.25" customHeight="1">
      <c r="A321" s="3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4.25" customHeight="1">
      <c r="A322" s="3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4.25" customHeight="1">
      <c r="A323" s="3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4.25" customHeight="1">
      <c r="A324" s="3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4.25" customHeight="1">
      <c r="A325" s="3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4.25" customHeight="1">
      <c r="A326" s="3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4.25" customHeight="1">
      <c r="A327" s="3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4.25" customHeight="1">
      <c r="A328" s="3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4.25" customHeight="1">
      <c r="A329" s="3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4.25" customHeight="1">
      <c r="A330" s="3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4.25" customHeight="1">
      <c r="A331" s="3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4.25" customHeight="1">
      <c r="A332" s="3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4.25" customHeight="1">
      <c r="A333" s="3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4.25" customHeight="1">
      <c r="A334" s="3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4.25" customHeight="1">
      <c r="A335" s="3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4.25" customHeight="1">
      <c r="A336" s="3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4.25" customHeight="1">
      <c r="A337" s="3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4.25" customHeight="1">
      <c r="A338" s="3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4.25" customHeight="1">
      <c r="A339" s="3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4.25" customHeight="1">
      <c r="A340" s="3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4.25" customHeight="1">
      <c r="A341" s="3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4.25" customHeight="1">
      <c r="A342" s="3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4.25" customHeight="1">
      <c r="A343" s="3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4.25" customHeight="1">
      <c r="A344" s="3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4.25" customHeight="1">
      <c r="A345" s="3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4.25" customHeight="1">
      <c r="A346" s="3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4.25" customHeight="1">
      <c r="A347" s="3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4.25" customHeight="1">
      <c r="A348" s="3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4.25" customHeight="1">
      <c r="A349" s="3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4.25" customHeight="1">
      <c r="A350" s="3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4.25" customHeight="1">
      <c r="A351" s="3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4.25" customHeight="1">
      <c r="A352" s="3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4.25" customHeight="1">
      <c r="A353" s="3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4.25" customHeight="1">
      <c r="A354" s="3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4.25" customHeight="1">
      <c r="A355" s="3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4.25" customHeight="1">
      <c r="A356" s="3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4.25" customHeight="1">
      <c r="A357" s="3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4.25" customHeight="1">
      <c r="A358" s="3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4.25" customHeight="1">
      <c r="A359" s="3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4.25" customHeight="1">
      <c r="A360" s="3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4.25" customHeight="1">
      <c r="A361" s="3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4.25" customHeight="1">
      <c r="A362" s="3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4.25" customHeight="1">
      <c r="A363" s="3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4.25" customHeight="1">
      <c r="A364" s="3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4.25" customHeight="1">
      <c r="A365" s="3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4.25" customHeight="1">
      <c r="A366" s="3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4.25" customHeight="1">
      <c r="A367" s="3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4.25" customHeight="1">
      <c r="A368" s="3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4.25" customHeight="1">
      <c r="A369" s="3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4.25" customHeight="1">
      <c r="A370" s="3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4.25" customHeight="1">
      <c r="A371" s="3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4.25" customHeight="1">
      <c r="A372" s="3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4.25" customHeight="1">
      <c r="A373" s="3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4.25" customHeight="1">
      <c r="A374" s="3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4.25" customHeight="1">
      <c r="A375" s="3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4.25" customHeight="1">
      <c r="A376" s="3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4.25" customHeight="1">
      <c r="A377" s="3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4.25" customHeight="1">
      <c r="A378" s="3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4.25" customHeight="1">
      <c r="A379" s="3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4.25" customHeight="1">
      <c r="A380" s="3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4.25" customHeight="1">
      <c r="A381" s="3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4.25" customHeight="1">
      <c r="A382" s="3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4.25" customHeight="1">
      <c r="A383" s="3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4.25" customHeight="1">
      <c r="A384" s="3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4.25" customHeight="1">
      <c r="A385" s="3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4.25" customHeight="1">
      <c r="A386" s="3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4.25" customHeight="1">
      <c r="A387" s="3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4.25" customHeight="1">
      <c r="A388" s="3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4.25" customHeight="1">
      <c r="A389" s="3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4.25" customHeight="1">
      <c r="A390" s="3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4.25" customHeight="1">
      <c r="A391" s="3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4.25" customHeight="1">
      <c r="A392" s="3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4.25" customHeight="1">
      <c r="A393" s="3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4.25" customHeight="1">
      <c r="A394" s="3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4.25" customHeight="1">
      <c r="A395" s="3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4.25" customHeight="1">
      <c r="A396" s="3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4.25" customHeight="1">
      <c r="A397" s="3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4.25" customHeight="1">
      <c r="A398" s="3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4.25" customHeight="1">
      <c r="A399" s="3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4.25" customHeight="1">
      <c r="A400" s="3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4.25" customHeight="1">
      <c r="A401" s="3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4.25" customHeight="1">
      <c r="A402" s="3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4.25" customHeight="1">
      <c r="A403" s="3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4.25" customHeight="1">
      <c r="A404" s="3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4.25" customHeight="1">
      <c r="A405" s="3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4.25" customHeight="1">
      <c r="A406" s="3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4.25" customHeight="1">
      <c r="A407" s="3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4.25" customHeight="1">
      <c r="A408" s="3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4.25" customHeight="1">
      <c r="A409" s="3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4.25" customHeight="1">
      <c r="A410" s="3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4.25" customHeight="1">
      <c r="A411" s="3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4.25" customHeight="1">
      <c r="A412" s="3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4.25" customHeight="1">
      <c r="A413" s="3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4.25" customHeight="1">
      <c r="A414" s="3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4.25" customHeight="1">
      <c r="A415" s="3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4.25" customHeight="1">
      <c r="A416" s="3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4.25" customHeight="1">
      <c r="A417" s="3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4.25" customHeight="1">
      <c r="A418" s="3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4.25" customHeight="1">
      <c r="A419" s="3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4.25" customHeight="1">
      <c r="A420" s="3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4.25" customHeight="1">
      <c r="A421" s="3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4.25" customHeight="1">
      <c r="A422" s="3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4.25" customHeight="1">
      <c r="A423" s="3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4.25" customHeight="1">
      <c r="A424" s="3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4.25" customHeight="1">
      <c r="A425" s="3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4.25" customHeight="1">
      <c r="A426" s="3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4.25" customHeight="1">
      <c r="A427" s="3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4.25" customHeight="1">
      <c r="A428" s="3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4.25" customHeight="1">
      <c r="A429" s="3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4.25" customHeight="1">
      <c r="A430" s="3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4.25" customHeight="1">
      <c r="A431" s="3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4.25" customHeight="1">
      <c r="A432" s="3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4.25" customHeight="1">
      <c r="A433" s="3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4.25" customHeight="1">
      <c r="A434" s="3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4.25" customHeight="1">
      <c r="A435" s="3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4.25" customHeight="1">
      <c r="A436" s="3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4.25" customHeight="1">
      <c r="A437" s="3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4.25" customHeight="1">
      <c r="A438" s="3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4.25" customHeight="1">
      <c r="A439" s="3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4.25" customHeight="1">
      <c r="A440" s="3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4.25" customHeight="1">
      <c r="A441" s="3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4.25" customHeight="1">
      <c r="A442" s="3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4.25" customHeight="1">
      <c r="A443" s="3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4.25" customHeight="1">
      <c r="A444" s="3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4.25" customHeight="1">
      <c r="A445" s="3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4.25" customHeight="1">
      <c r="A446" s="3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4.25" customHeight="1">
      <c r="A447" s="3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4.25" customHeight="1">
      <c r="A448" s="3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4.25" customHeight="1">
      <c r="A449" s="3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4.25" customHeight="1">
      <c r="A450" s="3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4.25" customHeight="1">
      <c r="A451" s="3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4.25" customHeight="1">
      <c r="A452" s="3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4.25" customHeight="1">
      <c r="A453" s="3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4.25" customHeight="1">
      <c r="A454" s="3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4.25" customHeight="1">
      <c r="A455" s="3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4.25" customHeight="1">
      <c r="A456" s="3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4.25" customHeight="1">
      <c r="A457" s="3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4.25" customHeight="1">
      <c r="A458" s="3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4.25" customHeight="1">
      <c r="A459" s="3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4.25" customHeight="1">
      <c r="A460" s="3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4.25" customHeight="1">
      <c r="A461" s="3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4.25" customHeight="1">
      <c r="A462" s="3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4.25" customHeight="1">
      <c r="A463" s="3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4.25" customHeight="1">
      <c r="A464" s="3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4.25" customHeight="1">
      <c r="A465" s="3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4.25" customHeight="1">
      <c r="A466" s="3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4.25" customHeight="1">
      <c r="A467" s="3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4.25" customHeight="1">
      <c r="A468" s="3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4.25" customHeight="1">
      <c r="A469" s="3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4.25" customHeight="1">
      <c r="A470" s="3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4.25" customHeight="1">
      <c r="A471" s="3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4.25" customHeight="1">
      <c r="A472" s="3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4.25" customHeight="1">
      <c r="A473" s="3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4.25" customHeight="1">
      <c r="A474" s="3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4.25" customHeight="1">
      <c r="A475" s="3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4.25" customHeight="1">
      <c r="A476" s="3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4.25" customHeight="1">
      <c r="A477" s="3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4.25" customHeight="1">
      <c r="A478" s="3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4.25" customHeight="1">
      <c r="A479" s="3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4.25" customHeight="1">
      <c r="A480" s="3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4.25" customHeight="1">
      <c r="A481" s="3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4.25" customHeight="1">
      <c r="A482" s="3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4.25" customHeight="1">
      <c r="A483" s="3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4.25" customHeight="1">
      <c r="A484" s="3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4.25" customHeight="1">
      <c r="A485" s="3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4.25" customHeight="1">
      <c r="A486" s="3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4.25" customHeight="1">
      <c r="A487" s="3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4.25" customHeight="1">
      <c r="A488" s="3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4.25" customHeight="1">
      <c r="A489" s="3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4.25" customHeight="1">
      <c r="A490" s="3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4.25" customHeight="1">
      <c r="A491" s="3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4.25" customHeight="1">
      <c r="A492" s="3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4.25" customHeight="1">
      <c r="A493" s="3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4.25" customHeight="1">
      <c r="A494" s="3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4.25" customHeight="1">
      <c r="A495" s="3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4.25" customHeight="1">
      <c r="A496" s="3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4.25" customHeight="1">
      <c r="A497" s="3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4.25" customHeight="1">
      <c r="A498" s="3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4.25" customHeight="1">
      <c r="A499" s="3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4.25" customHeight="1">
      <c r="A500" s="3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4.25" customHeight="1">
      <c r="A501" s="3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4.25" customHeight="1">
      <c r="A502" s="3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4.25" customHeight="1">
      <c r="A503" s="3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4.25" customHeight="1">
      <c r="A504" s="3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4.25" customHeight="1">
      <c r="A505" s="3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4.25" customHeight="1">
      <c r="A506" s="3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4.25" customHeight="1">
      <c r="A507" s="3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4.25" customHeight="1">
      <c r="A508" s="3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4.25" customHeight="1">
      <c r="A509" s="3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4.25" customHeight="1">
      <c r="A510" s="3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4.25" customHeight="1">
      <c r="A511" s="3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4.25" customHeight="1">
      <c r="A512" s="3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4.25" customHeight="1">
      <c r="A513" s="3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4.25" customHeight="1">
      <c r="A514" s="3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4.25" customHeight="1">
      <c r="A515" s="3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4.25" customHeight="1">
      <c r="A516" s="3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4.25" customHeight="1">
      <c r="A517" s="3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4.25" customHeight="1">
      <c r="A518" s="3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4.25" customHeight="1">
      <c r="A519" s="3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4.25" customHeight="1">
      <c r="A520" s="3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4.25" customHeight="1">
      <c r="A521" s="3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4.25" customHeight="1">
      <c r="A522" s="3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4.25" customHeight="1">
      <c r="A523" s="3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4.25" customHeight="1">
      <c r="A524" s="3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4.25" customHeight="1">
      <c r="A525" s="3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4.25" customHeight="1">
      <c r="A526" s="3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4.25" customHeight="1">
      <c r="A527" s="3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4.25" customHeight="1">
      <c r="A528" s="3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4.25" customHeight="1">
      <c r="A529" s="3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4.25" customHeight="1">
      <c r="A530" s="3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4.25" customHeight="1">
      <c r="A531" s="3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4.25" customHeight="1">
      <c r="A532" s="3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4.25" customHeight="1">
      <c r="A533" s="3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4.25" customHeight="1">
      <c r="A534" s="3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4.25" customHeight="1">
      <c r="A535" s="3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4.25" customHeight="1">
      <c r="A536" s="3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4.25" customHeight="1">
      <c r="A537" s="3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4.25" customHeight="1">
      <c r="A538" s="3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4.25" customHeight="1">
      <c r="A539" s="3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4.25" customHeight="1">
      <c r="A540" s="3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4.25" customHeight="1">
      <c r="A541" s="3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4.25" customHeight="1">
      <c r="A542" s="3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4.25" customHeight="1">
      <c r="A543" s="3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4.25" customHeight="1">
      <c r="A544" s="3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4.25" customHeight="1">
      <c r="A545" s="3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4.25" customHeight="1">
      <c r="A546" s="3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4.25" customHeight="1">
      <c r="A547" s="3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4.25" customHeight="1">
      <c r="A548" s="3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4.25" customHeight="1">
      <c r="A549" s="3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4.25" customHeight="1">
      <c r="A550" s="3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4.25" customHeight="1">
      <c r="A551" s="3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4.25" customHeight="1">
      <c r="A552" s="3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4.25" customHeight="1">
      <c r="A553" s="3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4.25" customHeight="1">
      <c r="A554" s="3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4.25" customHeight="1">
      <c r="A555" s="3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4.25" customHeight="1">
      <c r="A556" s="3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4.25" customHeight="1">
      <c r="A557" s="3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4.25" customHeight="1">
      <c r="A558" s="3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4.25" customHeight="1">
      <c r="A559" s="3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4.25" customHeight="1">
      <c r="A560" s="3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4.25" customHeight="1">
      <c r="A561" s="3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4.25" customHeight="1">
      <c r="A562" s="3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4.25" customHeight="1">
      <c r="A563" s="3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4.25" customHeight="1">
      <c r="A564" s="3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4.25" customHeight="1">
      <c r="A565" s="3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4.25" customHeight="1">
      <c r="A566" s="3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4.25" customHeight="1">
      <c r="A567" s="3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4.25" customHeight="1">
      <c r="A568" s="3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4.25" customHeight="1">
      <c r="A569" s="3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4.25" customHeight="1">
      <c r="A570" s="3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4.25" customHeight="1">
      <c r="A571" s="3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4.25" customHeight="1">
      <c r="A572" s="3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4.25" customHeight="1">
      <c r="A573" s="3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4.25" customHeight="1">
      <c r="A574" s="3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4.25" customHeight="1">
      <c r="A575" s="3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4.25" customHeight="1">
      <c r="A576" s="3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4.25" customHeight="1">
      <c r="A577" s="3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4.25" customHeight="1">
      <c r="A578" s="3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4.25" customHeight="1">
      <c r="A579" s="3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4.25" customHeight="1">
      <c r="A580" s="3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4.25" customHeight="1">
      <c r="A581" s="3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4.25" customHeight="1">
      <c r="A582" s="3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4.25" customHeight="1">
      <c r="A583" s="3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4.25" customHeight="1">
      <c r="A584" s="3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4.25" customHeight="1">
      <c r="A585" s="3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4.25" customHeight="1">
      <c r="A586" s="3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4.25" customHeight="1">
      <c r="A587" s="3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4.25" customHeight="1">
      <c r="A588" s="3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4.25" customHeight="1">
      <c r="A589" s="3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4.25" customHeight="1">
      <c r="A590" s="3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4.25" customHeight="1">
      <c r="A591" s="3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4.25" customHeight="1">
      <c r="A592" s="3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4.25" customHeight="1">
      <c r="A593" s="3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4.25" customHeight="1">
      <c r="A594" s="3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4.25" customHeight="1">
      <c r="A595" s="3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4.25" customHeight="1">
      <c r="A596" s="3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4.25" customHeight="1">
      <c r="A597" s="3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4.25" customHeight="1">
      <c r="A598" s="3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4.25" customHeight="1">
      <c r="A599" s="3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4.25" customHeight="1">
      <c r="A600" s="3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4.25" customHeight="1">
      <c r="A601" s="3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4.25" customHeight="1">
      <c r="A602" s="3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4.25" customHeight="1">
      <c r="A603" s="3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4.25" customHeight="1">
      <c r="A604" s="3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4.25" customHeight="1">
      <c r="A605" s="3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4.25" customHeight="1">
      <c r="A606" s="3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4.25" customHeight="1">
      <c r="A607" s="3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4.25" customHeight="1">
      <c r="A608" s="3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4.25" customHeight="1">
      <c r="A609" s="3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4.25" customHeight="1">
      <c r="A610" s="3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4.25" customHeight="1">
      <c r="A611" s="3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4.25" customHeight="1">
      <c r="A612" s="3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4.25" customHeight="1">
      <c r="A613" s="3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4.25" customHeight="1">
      <c r="A614" s="3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4.25" customHeight="1">
      <c r="A615" s="3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4.25" customHeight="1">
      <c r="A616" s="3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4.25" customHeight="1">
      <c r="A617" s="3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4.25" customHeight="1">
      <c r="A618" s="3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4.25" customHeight="1">
      <c r="A619" s="3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4.25" customHeight="1">
      <c r="A620" s="3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4.25" customHeight="1">
      <c r="A621" s="3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4.25" customHeight="1">
      <c r="A622" s="3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4.25" customHeight="1">
      <c r="A623" s="3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4.25" customHeight="1">
      <c r="A624" s="3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4.25" customHeight="1">
      <c r="A625" s="3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4.25" customHeight="1">
      <c r="A626" s="3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4.25" customHeight="1">
      <c r="A627" s="3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4.25" customHeight="1">
      <c r="A628" s="3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4.25" customHeight="1">
      <c r="A629" s="3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4.25" customHeight="1">
      <c r="A630" s="3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4.25" customHeight="1">
      <c r="A631" s="3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4.25" customHeight="1">
      <c r="A632" s="3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4.25" customHeight="1">
      <c r="A633" s="3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4.25" customHeight="1">
      <c r="A634" s="3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4.25" customHeight="1">
      <c r="A635" s="3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4.25" customHeight="1">
      <c r="A636" s="3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4.25" customHeight="1">
      <c r="A637" s="3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4.25" customHeight="1">
      <c r="A638" s="3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4.25" customHeight="1">
      <c r="A639" s="3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4.25" customHeight="1">
      <c r="A640" s="3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4.25" customHeight="1">
      <c r="A641" s="3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4.25" customHeight="1">
      <c r="A642" s="3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4.25" customHeight="1">
      <c r="A643" s="3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4.25" customHeight="1">
      <c r="A644" s="3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4.25" customHeight="1">
      <c r="A645" s="3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4.25" customHeight="1">
      <c r="A646" s="3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4.25" customHeight="1">
      <c r="A647" s="3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4.25" customHeight="1">
      <c r="A648" s="3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4.25" customHeight="1">
      <c r="A649" s="3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4.25" customHeight="1">
      <c r="A650" s="3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4.25" customHeight="1">
      <c r="A651" s="3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4.25" customHeight="1">
      <c r="A652" s="3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4.25" customHeight="1">
      <c r="A653" s="3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4.25" customHeight="1">
      <c r="A654" s="3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4.25" customHeight="1">
      <c r="A655" s="3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4.25" customHeight="1">
      <c r="A656" s="3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4.25" customHeight="1">
      <c r="A657" s="3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4.25" customHeight="1">
      <c r="A658" s="3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4.25" customHeight="1">
      <c r="A659" s="3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4.25" customHeight="1">
      <c r="A660" s="3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4.25" customHeight="1">
      <c r="A661" s="3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4.25" customHeight="1">
      <c r="A662" s="3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4.25" customHeight="1">
      <c r="A663" s="3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4.25" customHeight="1">
      <c r="A664" s="3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4.25" customHeight="1">
      <c r="A665" s="3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4.25" customHeight="1">
      <c r="A666" s="3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4.25" customHeight="1">
      <c r="A667" s="3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4.25" customHeight="1">
      <c r="A668" s="3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4.25" customHeight="1">
      <c r="A669" s="3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4.25" customHeight="1">
      <c r="A670" s="3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4.25" customHeight="1">
      <c r="A671" s="3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4.25" customHeight="1">
      <c r="A672" s="3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4.25" customHeight="1">
      <c r="A673" s="3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4.25" customHeight="1">
      <c r="A674" s="3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4.25" customHeight="1">
      <c r="A675" s="3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4.25" customHeight="1">
      <c r="A676" s="3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4.25" customHeight="1">
      <c r="A677" s="3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4.25" customHeight="1">
      <c r="A678" s="3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4.25" customHeight="1">
      <c r="A679" s="3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4.25" customHeight="1">
      <c r="A680" s="3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4.25" customHeight="1">
      <c r="A681" s="3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4.25" customHeight="1">
      <c r="A682" s="3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4.25" customHeight="1">
      <c r="A683" s="3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4.25" customHeight="1">
      <c r="A684" s="3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4.25" customHeight="1">
      <c r="A685" s="3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4.25" customHeight="1">
      <c r="A686" s="3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4.25" customHeight="1">
      <c r="A687" s="3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4.25" customHeight="1">
      <c r="A688" s="3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4.25" customHeight="1">
      <c r="A689" s="3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4.25" customHeight="1">
      <c r="A690" s="3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4.25" customHeight="1">
      <c r="A691" s="3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4.25" customHeight="1">
      <c r="A692" s="3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4.25" customHeight="1">
      <c r="A693" s="3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4.25" customHeight="1">
      <c r="A694" s="3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4.25" customHeight="1">
      <c r="A695" s="3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4.25" customHeight="1">
      <c r="A696" s="3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4.25" customHeight="1">
      <c r="A697" s="3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4.25" customHeight="1">
      <c r="A698" s="3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4.25" customHeight="1">
      <c r="A699" s="3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4.25" customHeight="1">
      <c r="A700" s="3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4.25" customHeight="1">
      <c r="A701" s="3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4.25" customHeight="1">
      <c r="A702" s="3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4.25" customHeight="1">
      <c r="A703" s="3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4.25" customHeight="1">
      <c r="A704" s="3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4.25" customHeight="1">
      <c r="A705" s="3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4.25" customHeight="1">
      <c r="A706" s="3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4.25" customHeight="1">
      <c r="A707" s="3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4.25" customHeight="1">
      <c r="A708" s="3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4.25" customHeight="1">
      <c r="A709" s="3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4.25" customHeight="1">
      <c r="A710" s="3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4.25" customHeight="1">
      <c r="A711" s="3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4.25" customHeight="1">
      <c r="A712" s="3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4.25" customHeight="1">
      <c r="A713" s="3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4.25" customHeight="1">
      <c r="A714" s="3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4.25" customHeight="1">
      <c r="A715" s="3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4.25" customHeight="1">
      <c r="A716" s="3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4.25" customHeight="1">
      <c r="A717" s="3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4.25" customHeight="1">
      <c r="A718" s="3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4.25" customHeight="1">
      <c r="A719" s="3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4.25" customHeight="1">
      <c r="A720" s="3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4.25" customHeight="1">
      <c r="A721" s="3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4.25" customHeight="1">
      <c r="A722" s="3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4.25" customHeight="1">
      <c r="A723" s="3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4.25" customHeight="1">
      <c r="A724" s="3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4.25" customHeight="1">
      <c r="A725" s="3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4.25" customHeight="1">
      <c r="A726" s="3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4.25" customHeight="1">
      <c r="A727" s="3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4.25" customHeight="1">
      <c r="A728" s="3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4.25" customHeight="1">
      <c r="A729" s="3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4.25" customHeight="1">
      <c r="A730" s="3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4.25" customHeight="1">
      <c r="A731" s="3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4.25" customHeight="1">
      <c r="A732" s="3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4.25" customHeight="1">
      <c r="A733" s="3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4.25" customHeight="1">
      <c r="A734" s="3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4.25" customHeight="1">
      <c r="A735" s="3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4.25" customHeight="1">
      <c r="A736" s="3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4.25" customHeight="1">
      <c r="A737" s="3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4.25" customHeight="1">
      <c r="A738" s="3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4.25" customHeight="1">
      <c r="A739" s="3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4.25" customHeight="1">
      <c r="A740" s="3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4.25" customHeight="1">
      <c r="A741" s="3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4.25" customHeight="1">
      <c r="A742" s="3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4.25" customHeight="1">
      <c r="A743" s="3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4.25" customHeight="1">
      <c r="A744" s="3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4.25" customHeight="1">
      <c r="A745" s="3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4.25" customHeight="1">
      <c r="A746" s="3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4.25" customHeight="1">
      <c r="A747" s="3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4.25" customHeight="1">
      <c r="A748" s="3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4.25" customHeight="1">
      <c r="A749" s="3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4.25" customHeight="1">
      <c r="A750" s="3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4.25" customHeight="1">
      <c r="A751" s="3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4.25" customHeight="1">
      <c r="A752" s="3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4.25" customHeight="1">
      <c r="A753" s="3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4.25" customHeight="1">
      <c r="A754" s="3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4.25" customHeight="1">
      <c r="A755" s="3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4.25" customHeight="1">
      <c r="A756" s="3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4.25" customHeight="1">
      <c r="A757" s="3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4.25" customHeight="1">
      <c r="A758" s="3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4.25" customHeight="1">
      <c r="A759" s="3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4.25" customHeight="1">
      <c r="A760" s="3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4.25" customHeight="1">
      <c r="A761" s="3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4.25" customHeight="1">
      <c r="A762" s="3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4.25" customHeight="1">
      <c r="A763" s="3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4.25" customHeight="1">
      <c r="A764" s="3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4.25" customHeight="1">
      <c r="A765" s="3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4.25" customHeight="1">
      <c r="A766" s="3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4.25" customHeight="1">
      <c r="A767" s="3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4.25" customHeight="1">
      <c r="A768" s="3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4.25" customHeight="1">
      <c r="A769" s="3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4.25" customHeight="1">
      <c r="A770" s="3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4.25" customHeight="1">
      <c r="A771" s="3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4.25" customHeight="1">
      <c r="A772" s="3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4.25" customHeight="1">
      <c r="A773" s="3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4.25" customHeight="1">
      <c r="A774" s="3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4.25" customHeight="1">
      <c r="A775" s="3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4.25" customHeight="1">
      <c r="A776" s="3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4.25" customHeight="1">
      <c r="A777" s="3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4.25" customHeight="1">
      <c r="A778" s="3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4.25" customHeight="1">
      <c r="A779" s="3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4.25" customHeight="1">
      <c r="A780" s="3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4.25" customHeight="1">
      <c r="A781" s="3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4.25" customHeight="1">
      <c r="A782" s="3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4.25" customHeight="1">
      <c r="A783" s="3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4.25" customHeight="1">
      <c r="A784" s="3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4.25" customHeight="1">
      <c r="A785" s="3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4.25" customHeight="1">
      <c r="A786" s="3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4.25" customHeight="1">
      <c r="A787" s="3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4.25" customHeight="1">
      <c r="A788" s="3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4.25" customHeight="1">
      <c r="A789" s="3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4.25" customHeight="1">
      <c r="A790" s="3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4.25" customHeight="1">
      <c r="A791" s="3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4.25" customHeight="1">
      <c r="A792" s="3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4.25" customHeight="1">
      <c r="A793" s="3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4.25" customHeight="1">
      <c r="A794" s="3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4.25" customHeight="1">
      <c r="A795" s="3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4.25" customHeight="1">
      <c r="A796" s="3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4.25" customHeight="1">
      <c r="A797" s="3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4.25" customHeight="1">
      <c r="A798" s="3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4.25" customHeight="1">
      <c r="A799" s="3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4.25" customHeight="1">
      <c r="A800" s="3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4.25" customHeight="1">
      <c r="A801" s="3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4.25" customHeight="1">
      <c r="A802" s="3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4.25" customHeight="1">
      <c r="A803" s="3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4.25" customHeight="1">
      <c r="A804" s="3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4.25" customHeight="1">
      <c r="A805" s="3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4.25" customHeight="1">
      <c r="A806" s="3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4.25" customHeight="1">
      <c r="A807" s="3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4.25" customHeight="1">
      <c r="A808" s="3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4.25" customHeight="1">
      <c r="A809" s="3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4.25" customHeight="1">
      <c r="A810" s="3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4.25" customHeight="1">
      <c r="A811" s="3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4.25" customHeight="1">
      <c r="A812" s="3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4.25" customHeight="1">
      <c r="A813" s="3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4.25" customHeight="1">
      <c r="A814" s="3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4.25" customHeight="1">
      <c r="A815" s="3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4.25" customHeight="1">
      <c r="A816" s="3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4.25" customHeight="1">
      <c r="A817" s="3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4.25" customHeight="1">
      <c r="A818" s="3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4.25" customHeight="1">
      <c r="A819" s="3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4.25" customHeight="1">
      <c r="A820" s="3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4.25" customHeight="1">
      <c r="A821" s="3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4.25" customHeight="1">
      <c r="A822" s="3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4.25" customHeight="1">
      <c r="A823" s="3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4.25" customHeight="1">
      <c r="A824" s="3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4.25" customHeight="1">
      <c r="A825" s="3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4.25" customHeight="1">
      <c r="A826" s="3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4.25" customHeight="1">
      <c r="A827" s="3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4.25" customHeight="1">
      <c r="A828" s="3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4.25" customHeight="1">
      <c r="A829" s="3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4.25" customHeight="1">
      <c r="A830" s="3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4.25" customHeight="1">
      <c r="A831" s="3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4.25" customHeight="1">
      <c r="A832" s="3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4.25" customHeight="1">
      <c r="A833" s="3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4.25" customHeight="1">
      <c r="A834" s="3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4.25" customHeight="1">
      <c r="A835" s="3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4.25" customHeight="1">
      <c r="A836" s="3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4.25" customHeight="1">
      <c r="A837" s="3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4.25" customHeight="1">
      <c r="A838" s="3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4.25" customHeight="1">
      <c r="A839" s="3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4.25" customHeight="1">
      <c r="A840" s="3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4.25" customHeight="1">
      <c r="A841" s="3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4.25" customHeight="1">
      <c r="A842" s="3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4.25" customHeight="1">
      <c r="A843" s="3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4.25" customHeight="1">
      <c r="A844" s="3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4.25" customHeight="1">
      <c r="A845" s="3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4.25" customHeight="1">
      <c r="A846" s="3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4.25" customHeight="1">
      <c r="A847" s="3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4.25" customHeight="1">
      <c r="A848" s="3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4.25" customHeight="1">
      <c r="A849" s="3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4.25" customHeight="1">
      <c r="A850" s="3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4.25" customHeight="1">
      <c r="A851" s="3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4.25" customHeight="1">
      <c r="A852" s="3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4.25" customHeight="1">
      <c r="A853" s="3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4.25" customHeight="1">
      <c r="A854" s="3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4.25" customHeight="1">
      <c r="A855" s="3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4.25" customHeight="1">
      <c r="A856" s="3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4.25" customHeight="1">
      <c r="A857" s="3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4.25" customHeight="1">
      <c r="A858" s="3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4.25" customHeight="1">
      <c r="A859" s="3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4.25" customHeight="1">
      <c r="A860" s="3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4.25" customHeight="1">
      <c r="A861" s="3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4.25" customHeight="1">
      <c r="A862" s="3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4.25" customHeight="1">
      <c r="A863" s="3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4.25" customHeight="1">
      <c r="A864" s="3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4.25" customHeight="1">
      <c r="A865" s="3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4.25" customHeight="1">
      <c r="A866" s="3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4.25" customHeight="1">
      <c r="A867" s="3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4.25" customHeight="1">
      <c r="A868" s="3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4.25" customHeight="1">
      <c r="A869" s="3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4.25" customHeight="1">
      <c r="A870" s="3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4.25" customHeight="1">
      <c r="A871" s="3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4.25" customHeight="1">
      <c r="A872" s="3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4.25" customHeight="1">
      <c r="A873" s="3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4.25" customHeight="1">
      <c r="A874" s="3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4.25" customHeight="1">
      <c r="A875" s="3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4.25" customHeight="1">
      <c r="A876" s="3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4.25" customHeight="1">
      <c r="A877" s="3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4.25" customHeight="1">
      <c r="A878" s="3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4.25" customHeight="1">
      <c r="A879" s="3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4.25" customHeight="1">
      <c r="A880" s="3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4.25" customHeight="1">
      <c r="A881" s="3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4.25" customHeight="1">
      <c r="A882" s="3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4.25" customHeight="1">
      <c r="A883" s="3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4.25" customHeight="1">
      <c r="A884" s="3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4.25" customHeight="1">
      <c r="A885" s="3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4.25" customHeight="1">
      <c r="A886" s="3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4.25" customHeight="1">
      <c r="A887" s="3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4.25" customHeight="1">
      <c r="A888" s="3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4.25" customHeight="1">
      <c r="A889" s="3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4.25" customHeight="1">
      <c r="A890" s="3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4.25" customHeight="1">
      <c r="A891" s="3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4.25" customHeight="1">
      <c r="A892" s="3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4.25" customHeight="1">
      <c r="A893" s="3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4.25" customHeight="1">
      <c r="A894" s="3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4.25" customHeight="1">
      <c r="A895" s="3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4.25" customHeight="1">
      <c r="A896" s="3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4.25" customHeight="1">
      <c r="A897" s="3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4.25" customHeight="1">
      <c r="A898" s="3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4.25" customHeight="1">
      <c r="A899" s="3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4.25" customHeight="1">
      <c r="A900" s="3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4.25" customHeight="1">
      <c r="A901" s="3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4.25" customHeight="1">
      <c r="A902" s="3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4.25" customHeight="1">
      <c r="A903" s="3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4.25" customHeight="1">
      <c r="A904" s="3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4.25" customHeight="1">
      <c r="A905" s="3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4.25" customHeight="1">
      <c r="A906" s="3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4.25" customHeight="1">
      <c r="A907" s="3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4.25" customHeight="1">
      <c r="A908" s="3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4.25" customHeight="1">
      <c r="A909" s="3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4.25" customHeight="1">
      <c r="A910" s="3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4.25" customHeight="1">
      <c r="A911" s="3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4.25" customHeight="1">
      <c r="A912" s="3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4.25" customHeight="1">
      <c r="A913" s="3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4.25" customHeight="1">
      <c r="A914" s="3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4.25" customHeight="1">
      <c r="A915" s="3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4.25" customHeight="1">
      <c r="A916" s="3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4.25" customHeight="1">
      <c r="A917" s="3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4.25" customHeight="1">
      <c r="A918" s="3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4.25" customHeight="1">
      <c r="A919" s="3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4.25" customHeight="1">
      <c r="A920" s="3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4.25" customHeight="1">
      <c r="A921" s="3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4.25" customHeight="1">
      <c r="A922" s="3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4.25" customHeight="1">
      <c r="A923" s="3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4.25" customHeight="1">
      <c r="A924" s="3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4.25" customHeight="1">
      <c r="A925" s="3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4.25" customHeight="1">
      <c r="A926" s="3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4.25" customHeight="1">
      <c r="A927" s="3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4.25" customHeight="1">
      <c r="A928" s="3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4.25" customHeight="1">
      <c r="A929" s="3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4.25" customHeight="1">
      <c r="A930" s="3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4.25" customHeight="1">
      <c r="A931" s="3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4.25" customHeight="1">
      <c r="A932" s="3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4.25" customHeight="1">
      <c r="A933" s="3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4.25" customHeight="1">
      <c r="A934" s="3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4.25" customHeight="1">
      <c r="A935" s="3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4.25" customHeight="1">
      <c r="A936" s="3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4.25" customHeight="1">
      <c r="A937" s="3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4.25" customHeight="1">
      <c r="A938" s="3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4.25" customHeight="1">
      <c r="A939" s="3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4.25" customHeight="1">
      <c r="A940" s="3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4.25" customHeight="1">
      <c r="A941" s="3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4.25" customHeight="1">
      <c r="A942" s="3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4.25" customHeight="1">
      <c r="A943" s="3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4.25" customHeight="1">
      <c r="A944" s="3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4.25" customHeight="1">
      <c r="A945" s="3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4.25" customHeight="1">
      <c r="A946" s="3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4.25" customHeight="1">
      <c r="A947" s="3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4.25" customHeight="1">
      <c r="A948" s="3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4.25" customHeight="1">
      <c r="A949" s="3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4.25" customHeight="1">
      <c r="A950" s="3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4.25" customHeight="1">
      <c r="A951" s="3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4.25" customHeight="1">
      <c r="A952" s="3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4.25" customHeight="1">
      <c r="A953" s="3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4.25" customHeight="1">
      <c r="A954" s="3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4.25" customHeight="1">
      <c r="A955" s="3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4.25" customHeight="1">
      <c r="A956" s="3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4.25" customHeight="1">
      <c r="A957" s="3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4.25" customHeight="1">
      <c r="A958" s="3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4.25" customHeight="1">
      <c r="A959" s="3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4.25" customHeight="1">
      <c r="A960" s="3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4.25" customHeight="1">
      <c r="A961" s="3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4.25" customHeight="1">
      <c r="A962" s="3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4.25" customHeight="1">
      <c r="A963" s="3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4.25" customHeight="1">
      <c r="A964" s="3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4.25" customHeight="1">
      <c r="A965" s="3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4.25" customHeight="1">
      <c r="A966" s="3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4.25" customHeight="1">
      <c r="A967" s="3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4.25" customHeight="1">
      <c r="A968" s="3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4.25" customHeight="1">
      <c r="A969" s="3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4.25" customHeight="1">
      <c r="A970" s="3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4.25" customHeight="1">
      <c r="A971" s="3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4.25" customHeight="1">
      <c r="A972" s="3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4.25" customHeight="1">
      <c r="A973" s="3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4.25" customHeight="1">
      <c r="A974" s="3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</sheetData>
  <mergeCells count="6">
    <mergeCell ref="A2:L2"/>
    <mergeCell ref="A6:H6"/>
    <mergeCell ref="A13:H13"/>
    <mergeCell ref="A22:F22"/>
    <mergeCell ref="A41:F41"/>
    <mergeCell ref="A44:B44"/>
  </mergeCells>
  <printOptions gridLines="1"/>
  <pageMargins bottom="0.25" footer="0.0" header="0.0" left="0.25" right="0.2" top="0.25"/>
  <pageSetup orientation="landscape"/>
  <drawing r:id="rId2"/>
  <legacyDrawing r:id="rId3"/>
</worksheet>
</file>